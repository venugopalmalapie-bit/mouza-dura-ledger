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lots" sheetId="2" state="visible" r:id="rId4"/>
    <sheet name="Other payments" sheetId="3" state="visible" r:id="rId5"/>
    <sheet name="How to update" sheetId="4" state="visible" r:id="rId6"/>
  </sheets>
  <definedNames>
    <definedName function="false" hidden="true" localSheetId="1" name="_xlnm._FilterDatabase" vbProcedure="false">Plots!$A$1:$Q$62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Choose one: Sold, Part-sold, Unsold, Gifted, Can't be sold.</t>
        </r>
      </text>
    </comment>
    <comment ref="L1" authorId="0">
      <text>
        <r>
          <rPr>
            <sz val="10"/>
            <rFont val="Arial"/>
            <family val="2"/>
          </rPr>
          <t xml:space="preserve">Money MKR has handed over to the four partners for this plot. Edit this when a payment is made.</t>
        </r>
      </text>
    </comment>
    <comment ref="M1" authorId="0">
      <text>
        <r>
          <rPr>
            <sz val="10"/>
            <rFont val="Arial"/>
            <family val="2"/>
          </rPr>
          <t xml:space="preserve">Calculated: Owed − Paid. Negative means more than owed was paid.</t>
        </r>
      </text>
    </comment>
  </commentList>
</comments>
</file>

<file path=xl/sharedStrings.xml><?xml version="1.0" encoding="utf-8"?>
<sst xmlns="http://schemas.openxmlformats.org/spreadsheetml/2006/main" count="197" uniqueCount="107">
  <si>
    <t xml:space="preserve">Mouza Dura joint layout · plot ledger</t>
  </si>
  <si>
    <t xml:space="preserve">Partners MPR, MGR, MJR, MDR share equally (25% each). Sales by MKR. Blue cells are inputs; black cells are calculated.</t>
  </si>
  <si>
    <t xml:space="preserve">Contract rate (₹ per sq ft, 2022 agreement)</t>
  </si>
  <si>
    <t xml:space="preserve">LAND</t>
  </si>
  <si>
    <t xml:space="preserve">Saleable area (sq ft)</t>
  </si>
  <si>
    <t xml:space="preserve">Sold (sq ft)</t>
  </si>
  <si>
    <t xml:space="preserve">Sold, valued at the rate (₹)</t>
  </si>
  <si>
    <t xml:space="preserve">Yet to be sold (sq ft)</t>
  </si>
  <si>
    <t xml:space="preserve">Yet to be sold, valued at the rate (₹)</t>
  </si>
  <si>
    <t xml:space="preserve">Gifted (sq ft)</t>
  </si>
  <si>
    <t xml:space="preserve">Can't be sold (sq ft)</t>
  </si>
  <si>
    <t xml:space="preserve">MONEY</t>
  </si>
  <si>
    <t xml:space="preserve">Owed to partners for land sold (₹)</t>
  </si>
  <si>
    <t xml:space="preserve">Paid to partners against plots (₹)</t>
  </si>
  <si>
    <t xml:space="preserve">Still due from MKR on land sold (₹)</t>
  </si>
  <si>
    <t xml:space="preserve">Token advance and other payments (₹)</t>
  </si>
  <si>
    <t xml:space="preserve">Overall balance (₹)  [positive = MKR owes, negative = MKR ahead]</t>
  </si>
  <si>
    <t xml:space="preserve">PER PARTNER (÷ 4)</t>
  </si>
  <si>
    <t xml:space="preserve">Owed per partner (₹)</t>
  </si>
  <si>
    <t xml:space="preserve">Received per partner, incl. advance (₹)</t>
  </si>
  <si>
    <t xml:space="preserve">Balance per partner (₹)</t>
  </si>
  <si>
    <t xml:space="preserve">Map no</t>
  </si>
  <si>
    <t xml:space="preserve">Survey plot</t>
  </si>
  <si>
    <t xml:space="preserve">Size (as written)</t>
  </si>
  <si>
    <t xml:space="preserve">Length (ft)</t>
  </si>
  <si>
    <t xml:space="preserve">Breadth (ft)</t>
  </si>
  <si>
    <t xml:space="preserve">Area (sq ft)</t>
  </si>
  <si>
    <t xml:space="preserve">Status</t>
  </si>
  <si>
    <t xml:space="preserve">Sq ft sold</t>
  </si>
  <si>
    <t xml:space="preserve">Unsold sq ft</t>
  </si>
  <si>
    <t xml:space="preserve">Tranche</t>
  </si>
  <si>
    <t xml:space="preserve">Owed to partners (₹)</t>
  </si>
  <si>
    <t xml:space="preserve">Paid to partners (₹)</t>
  </si>
  <si>
    <t xml:space="preserve">Balance due from MKR (₹)</t>
  </si>
  <si>
    <t xml:space="preserve">Unsold value at rate (₹)</t>
  </si>
  <si>
    <t xml:space="preserve">Buyer</t>
  </si>
  <si>
    <t xml:space="preserve">Sale date</t>
  </si>
  <si>
    <t xml:space="preserve">Notes</t>
  </si>
  <si>
    <t xml:space="preserve">Avg(7,13.5)XAvg(82,86.5)</t>
  </si>
  <si>
    <t xml:space="preserve">Can't be sold</t>
  </si>
  <si>
    <t xml:space="preserve">Marked "Cant be sold" in the Excel of 10 Oct 2026.</t>
  </si>
  <si>
    <t xml:space="preserve">15XAvg(86.5,91)</t>
  </si>
  <si>
    <t xml:space="preserve">Sold</t>
  </si>
  <si>
    <t xml:space="preserve">Part of Tranche 1 (paid as one lump sum; split here by sq ft sold).</t>
  </si>
  <si>
    <t xml:space="preserve">15XAvg(91, 91.5)</t>
  </si>
  <si>
    <t xml:space="preserve">15X60</t>
  </si>
  <si>
    <t xml:space="preserve">To check: Excel cell note: Deb dada's notebook entry is 1,376; doesn't match when added up
Part of Tranche 1 (paid as one lump sum; split here by sq ft sold).</t>
  </si>
  <si>
    <t xml:space="preserve">₹28,000 per partner (₹1,12,000 in all) still to be paid by MKR (per Venu, 17 Oct 2026). The Excel shows the full ₹7,20,000 as received.</t>
  </si>
  <si>
    <t xml:space="preserve">33.3XAvg(90, 89,95)</t>
  </si>
  <si>
    <t xml:space="preserve">Unsold</t>
  </si>
  <si>
    <t xml:space="preserve">15X70</t>
  </si>
  <si>
    <t xml:space="preserve">Gifted</t>
  </si>
  <si>
    <t xml:space="preserve">No number</t>
  </si>
  <si>
    <t xml:space="preserve">Avg(0,18)X70</t>
  </si>
  <si>
    <t xml:space="preserve">OL</t>
  </si>
  <si>
    <t xml:space="preserve">Avg(55,40,18,13)Xavg(0,35)</t>
  </si>
  <si>
    <t xml:space="preserve">15XAvg(55, 54)</t>
  </si>
  <si>
    <t xml:space="preserve">15XAvg(54, 53.5)</t>
  </si>
  <si>
    <t xml:space="preserve">15XAvg(53.5, 53)</t>
  </si>
  <si>
    <t xml:space="preserve">15X53</t>
  </si>
  <si>
    <t xml:space="preserve">15XAvg(53, 52)</t>
  </si>
  <si>
    <t xml:space="preserve">15XAvg(52, 54)</t>
  </si>
  <si>
    <t xml:space="preserve">15XAvg(54, 54.5)</t>
  </si>
  <si>
    <t xml:space="preserve">15XAvg(54.5, 49)</t>
  </si>
  <si>
    <t xml:space="preserve">Avg(15,6)XAvg( 49,53)</t>
  </si>
  <si>
    <t xml:space="preserve">To check: Area corrected from 688.5 to 535.5 sq ft (Excel value did not match its own formula)
To check: Sq ft sold on map 27–30 looks shifted by one row; check sale deeds</t>
  </si>
  <si>
    <t xml:space="preserve">15X34</t>
  </si>
  <si>
    <t xml:space="preserve">To check: Sq ft sold on map 27–30 looks shifted by one row; check sale deeds</t>
  </si>
  <si>
    <t xml:space="preserve">15XAvg(34, 35)</t>
  </si>
  <si>
    <t xml:space="preserve">15XAvg(35, 41)</t>
  </si>
  <si>
    <t xml:space="preserve">19XAvg(41,74)</t>
  </si>
  <si>
    <t xml:space="preserve">2026-03-01</t>
  </si>
  <si>
    <t xml:space="preserve">Sold in March 2026 (exact date not recorded). Nothing paid to partners yet (per Venu, 17 Oct 2026).</t>
  </si>
  <si>
    <t xml:space="preserve">15XAvg(74, 86.5)</t>
  </si>
  <si>
    <t xml:space="preserve">15XAvg(86.5, 101)</t>
  </si>
  <si>
    <t xml:space="preserve">Excel of 10 Oct 2026 shows the full ₹11,21,600 received.</t>
  </si>
  <si>
    <t xml:space="preserve">Avg(15,12)Xavg(101,120)</t>
  </si>
  <si>
    <t xml:space="preserve">Part-sold</t>
  </si>
  <si>
    <t xml:space="preserve">Sold in parts: 34.1 = 880 sq ft sold; 34.2 = 612 sq ft not sold (Excel of 10 Oct 2026).
Part of Tranche 1 (paid as one lump sum; split here by sq ft sold).</t>
  </si>
  <si>
    <t xml:space="preserve">20X60</t>
  </si>
  <si>
    <t xml:space="preserve">Avg(20,23)X60</t>
  </si>
  <si>
    <t xml:space="preserve">Avg(16,10)Xavg(38,40)</t>
  </si>
  <si>
    <t xml:space="preserve">15XAvg(40,43)</t>
  </si>
  <si>
    <t xml:space="preserve">Excel shows ₹5,00,000 received against ₹4,97,600 owed (₹2,400 extra).</t>
  </si>
  <si>
    <t xml:space="preserve">15XAvg(43,45)</t>
  </si>
  <si>
    <t xml:space="preserve">₹25,600 per partner (₹1,02,400 in all) still to be paid by MKR (per Venu, 17 Oct 2026). The Excel shows ₹5,00,000 received.</t>
  </si>
  <si>
    <t xml:space="preserve">15X45</t>
  </si>
  <si>
    <t xml:space="preserve">15XAvg(45,46)</t>
  </si>
  <si>
    <t xml:space="preserve">Avg(23,10)Xavg(46,47)</t>
  </si>
  <si>
    <t xml:space="preserve">To check: Sq ft sold (792) is more than plot area (767.25); verify</t>
  </si>
  <si>
    <t xml:space="preserve">Avg(20,31)Xavg(31,27.5)</t>
  </si>
  <si>
    <t xml:space="preserve">30XAvg(23,27.5)</t>
  </si>
  <si>
    <t xml:space="preserve">30XAvg(23,21)</t>
  </si>
  <si>
    <t xml:space="preserve">Avg(30,33)Xavg(21,20.5)</t>
  </si>
  <si>
    <t xml:space="preserve">Date</t>
  </si>
  <si>
    <t xml:space="preserve">Description</t>
  </si>
  <si>
    <t xml:space="preserve">Amount (₹)</t>
  </si>
  <si>
    <t xml:space="preserve">Token advance paid by MKR on taking up the development agreement</t>
  </si>
  <si>
    <t xml:space="preserve">₹5,00,000 per partner. Not tied to any plot (per Venu, 17 Oct 2026).</t>
  </si>
  <si>
    <t xml:space="preserve">Payments by MKR to the partners that are not tied to a plot (for example the token advance). Add one row per payment.</t>
  </si>
  <si>
    <t xml:space="preserve">How to update this ledger</t>
  </si>
  <si>
    <t xml:space="preserve">1. Change only the blue cells on the Plots sheet: status, sq ft sold, paid to partners, buyer, sale date, notes.</t>
  </si>
  <si>
    <t xml:space="preserve">2. Status must be one of: Sold, Part-sold, Unsold, Gifted, Can't be sold.</t>
  </si>
  <si>
    <t xml:space="preserve">3. When MKR hands over money for a plot, add it to "Paid to partners" for that plot.</t>
  </si>
  <si>
    <t xml:space="preserve">4. Money not tied to a plot (such as the token advance) goes on the "Other payments" sheet, one row per payment.</t>
  </si>
  <si>
    <t xml:space="preserve">5. Keep the file name ledger.xlsx and upload it to the GitHub repository (Add file → Upload files). The website updates itself in a minute or two.</t>
  </si>
  <si>
    <t xml:space="preserve">Do not rename sheets or column headings; the website reads them by name.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</si>
</sst>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[RED]\-#,##0"/>
    <numFmt numFmtId="167" formatCode="#,##0.##"/>
    <numFmt numFmtId="168" formatCode="#,##0;[RED]\-#,##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B686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1F5F4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B6862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5F4A"/>
        <bgColor rgb="FF5B686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5F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4A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3DA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8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  <c r="B3" s="3" t="n">
        <v>800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SUM(Plots!F2:F62)-SUMIFS(Plots!F2:F62,Plots!G2:G62,"Gifted")-SUMIFS(Plots!F2:F62,Plots!G2:G62,"Can't be sold")</f>
        <v>45551.4</v>
      </c>
    </row>
    <row r="7" customFormat="false" ht="15" hidden="false" customHeight="false" outlineLevel="0" collapsed="false">
      <c r="A7" s="5" t="s">
        <v>5</v>
      </c>
      <c r="B7" s="6" t="n">
        <f aca="false">SUM(Plots!H2:H62)</f>
        <v>38394.5</v>
      </c>
    </row>
    <row r="8" customFormat="false" ht="15" hidden="false" customHeight="false" outlineLevel="0" collapsed="false">
      <c r="A8" s="5" t="s">
        <v>6</v>
      </c>
      <c r="B8" s="6" t="n">
        <f aca="false">B7*$B$3</f>
        <v>30715600</v>
      </c>
    </row>
    <row r="9" customFormat="false" ht="15" hidden="false" customHeight="false" outlineLevel="0" collapsed="false">
      <c r="A9" s="5" t="s">
        <v>7</v>
      </c>
      <c r="B9" s="6" t="n">
        <f aca="false">SUM(Plots!I2:I62)</f>
        <v>6977.4</v>
      </c>
    </row>
    <row r="10" customFormat="false" ht="15" hidden="false" customHeight="false" outlineLevel="0" collapsed="false">
      <c r="A10" s="5" t="s">
        <v>8</v>
      </c>
      <c r="B10" s="6" t="n">
        <f aca="false">B9*$B$3</f>
        <v>5581920</v>
      </c>
    </row>
    <row r="11" customFormat="false" ht="15" hidden="false" customHeight="false" outlineLevel="0" collapsed="false">
      <c r="A11" s="5" t="s">
        <v>9</v>
      </c>
      <c r="B11" s="6" t="n">
        <f aca="false">SUMIFS(Plots!F2:F62,Plots!G2:G62,"Gifted")</f>
        <v>8400</v>
      </c>
    </row>
    <row r="12" customFormat="false" ht="15" hidden="false" customHeight="false" outlineLevel="0" collapsed="false">
      <c r="A12" s="5" t="s">
        <v>10</v>
      </c>
      <c r="B12" s="6" t="n">
        <f aca="false">SUMIFS(Plots!F2:F62,Plots!G2:G62,"Can't be sold")</f>
        <v>2044.81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5" t="s">
        <v>12</v>
      </c>
      <c r="B14" s="6" t="n">
        <f aca="false">SUM(Plots!K2:K62)</f>
        <v>30715600</v>
      </c>
    </row>
    <row r="15" customFormat="false" ht="15" hidden="false" customHeight="false" outlineLevel="0" collapsed="false">
      <c r="A15" s="5" t="s">
        <v>13</v>
      </c>
      <c r="B15" s="6" t="n">
        <f aca="false">SUM(Plots!L2:L62)</f>
        <v>28776800</v>
      </c>
    </row>
    <row r="16" customFormat="false" ht="15" hidden="false" customHeight="false" outlineLevel="0" collapsed="false">
      <c r="A16" s="5" t="s">
        <v>14</v>
      </c>
      <c r="B16" s="7" t="n">
        <f aca="false">B14-B15</f>
        <v>1938800</v>
      </c>
    </row>
    <row r="17" customFormat="false" ht="15" hidden="false" customHeight="false" outlineLevel="0" collapsed="false">
      <c r="A17" s="5" t="s">
        <v>15</v>
      </c>
      <c r="B17" s="6" t="n">
        <f aca="false">SUM('Other payments'!C2:C200)</f>
        <v>2000000</v>
      </c>
    </row>
    <row r="18" customFormat="false" ht="15" hidden="false" customHeight="false" outlineLevel="0" collapsed="false">
      <c r="A18" s="5" t="s">
        <v>16</v>
      </c>
      <c r="B18" s="7" t="n">
        <f aca="false">B16-B17</f>
        <v>-61200</v>
      </c>
    </row>
    <row r="19" customFormat="false" ht="15" hidden="false" customHeight="false" outlineLevel="0" collapsed="false">
      <c r="A19" s="4" t="s">
        <v>17</v>
      </c>
    </row>
    <row r="20" customFormat="false" ht="15" hidden="false" customHeight="false" outlineLevel="0" collapsed="false">
      <c r="A20" s="5" t="s">
        <v>18</v>
      </c>
      <c r="B20" s="6" t="n">
        <f aca="false">B14/4</f>
        <v>7678900</v>
      </c>
    </row>
    <row r="21" customFormat="false" ht="15" hidden="false" customHeight="false" outlineLevel="0" collapsed="false">
      <c r="A21" s="5" t="s">
        <v>19</v>
      </c>
      <c r="B21" s="6" t="n">
        <f aca="false">(B15+B17)/4</f>
        <v>7694200</v>
      </c>
    </row>
    <row r="22" customFormat="false" ht="15" hidden="false" customHeight="false" outlineLevel="0" collapsed="false">
      <c r="A22" s="5" t="s">
        <v>20</v>
      </c>
      <c r="B22" s="7" t="n">
        <f aca="false">B18/4</f>
        <v>-15300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1"/>
    <col collapsed="false" customWidth="true" hidden="false" outlineLevel="0" max="17" min="17" style="0" width="70"/>
  </cols>
  <sheetData>
    <row r="1" customFormat="false" ht="31.5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37</v>
      </c>
    </row>
    <row r="2" customFormat="false" ht="15" hidden="false" customHeight="false" outlineLevel="0" collapsed="false">
      <c r="A2" s="9" t="n">
        <v>1</v>
      </c>
      <c r="B2" s="9" t="n">
        <v>206</v>
      </c>
      <c r="C2" s="10" t="s">
        <v>38</v>
      </c>
      <c r="D2" s="11" t="n">
        <v>84.25</v>
      </c>
      <c r="E2" s="11" t="n">
        <v>10.25</v>
      </c>
      <c r="F2" s="11" t="n">
        <v>863.56</v>
      </c>
      <c r="G2" s="9" t="s">
        <v>39</v>
      </c>
      <c r="H2" s="11"/>
      <c r="I2" s="12" t="n">
        <f aca="false">IF(G2="Unsold",F2,IF(G2="Part-sold",F2-H2,0))</f>
        <v>0</v>
      </c>
      <c r="J2" s="9"/>
      <c r="K2" s="13" t="n">
        <f aca="false">IF(OR(G2="Sold",G2="Part-sold"),H2*Summary!$B$3,0)</f>
        <v>0</v>
      </c>
      <c r="L2" s="14"/>
      <c r="M2" s="13" t="n">
        <f aca="false">K2-N(L2)</f>
        <v>0</v>
      </c>
      <c r="N2" s="13" t="n">
        <f aca="false">I2*Summary!$B$3</f>
        <v>0</v>
      </c>
      <c r="O2" s="9"/>
      <c r="P2" s="9"/>
      <c r="Q2" s="10" t="s">
        <v>40</v>
      </c>
    </row>
    <row r="3" customFormat="false" ht="15" hidden="false" customHeight="false" outlineLevel="0" collapsed="false">
      <c r="A3" s="9" t="n">
        <v>2</v>
      </c>
      <c r="B3" s="9" t="n">
        <v>206</v>
      </c>
      <c r="C3" s="10" t="s">
        <v>41</v>
      </c>
      <c r="D3" s="11" t="n">
        <v>88.75</v>
      </c>
      <c r="E3" s="11" t="n">
        <v>15</v>
      </c>
      <c r="F3" s="11" t="n">
        <v>1331.25</v>
      </c>
      <c r="G3" s="9" t="s">
        <v>42</v>
      </c>
      <c r="H3" s="11" t="n">
        <v>1331</v>
      </c>
      <c r="I3" s="12" t="n">
        <f aca="false">IF(G3="Unsold",F3,IF(G3="Part-sold",F3-H3,0))</f>
        <v>0</v>
      </c>
      <c r="J3" s="9" t="n">
        <v>1</v>
      </c>
      <c r="K3" s="13" t="n">
        <f aca="false">IF(OR(G3="Sold",G3="Part-sold"),H3*Summary!$B$3,0)</f>
        <v>1064800</v>
      </c>
      <c r="L3" s="14" t="n">
        <v>914777</v>
      </c>
      <c r="M3" s="13" t="n">
        <f aca="false">K3-N(L3)</f>
        <v>150023</v>
      </c>
      <c r="N3" s="13" t="n">
        <f aca="false">I3*Summary!$B$3</f>
        <v>0</v>
      </c>
      <c r="O3" s="9"/>
      <c r="P3" s="9"/>
      <c r="Q3" s="10" t="s">
        <v>43</v>
      </c>
    </row>
    <row r="4" customFormat="false" ht="15" hidden="false" customHeight="false" outlineLevel="0" collapsed="false">
      <c r="A4" s="9" t="n">
        <v>3</v>
      </c>
      <c r="B4" s="9" t="n">
        <v>206</v>
      </c>
      <c r="C4" s="10" t="s">
        <v>44</v>
      </c>
      <c r="D4" s="11" t="n">
        <v>91.25</v>
      </c>
      <c r="E4" s="11" t="n">
        <v>15</v>
      </c>
      <c r="F4" s="11" t="n">
        <v>1368.75</v>
      </c>
      <c r="G4" s="9" t="s">
        <v>42</v>
      </c>
      <c r="H4" s="11" t="n">
        <v>1365</v>
      </c>
      <c r="I4" s="12" t="n">
        <f aca="false">IF(G4="Unsold",F4,IF(G4="Part-sold",F4-H4,0))</f>
        <v>0</v>
      </c>
      <c r="J4" s="9" t="n">
        <v>1</v>
      </c>
      <c r="K4" s="13" t="n">
        <f aca="false">IF(OR(G4="Sold",G4="Part-sold"),H4*Summary!$B$3,0)</f>
        <v>1092000</v>
      </c>
      <c r="L4" s="14" t="n">
        <v>938144</v>
      </c>
      <c r="M4" s="13" t="n">
        <f aca="false">K4-N(L4)</f>
        <v>153856</v>
      </c>
      <c r="N4" s="13" t="n">
        <f aca="false">I4*Summary!$B$3</f>
        <v>0</v>
      </c>
      <c r="O4" s="9"/>
      <c r="P4" s="9"/>
      <c r="Q4" s="10" t="s">
        <v>43</v>
      </c>
    </row>
    <row r="5" customFormat="false" ht="35.05" hidden="false" customHeight="false" outlineLevel="0" collapsed="false">
      <c r="A5" s="9" t="n">
        <v>4</v>
      </c>
      <c r="B5" s="9" t="n">
        <v>206</v>
      </c>
      <c r="C5" s="10" t="s">
        <v>45</v>
      </c>
      <c r="D5" s="11" t="n">
        <v>60</v>
      </c>
      <c r="E5" s="11" t="n">
        <v>15</v>
      </c>
      <c r="F5" s="11" t="n">
        <v>900</v>
      </c>
      <c r="G5" s="9" t="s">
        <v>42</v>
      </c>
      <c r="H5" s="11" t="n">
        <v>900</v>
      </c>
      <c r="I5" s="12" t="n">
        <f aca="false">IF(G5="Unsold",F5,IF(G5="Part-sold",F5-H5,0))</f>
        <v>0</v>
      </c>
      <c r="J5" s="9" t="n">
        <v>1</v>
      </c>
      <c r="K5" s="13" t="n">
        <f aca="false">IF(OR(G5="Sold",G5="Part-sold"),H5*Summary!$B$3,0)</f>
        <v>720000</v>
      </c>
      <c r="L5" s="14" t="n">
        <v>618557</v>
      </c>
      <c r="M5" s="13" t="n">
        <f aca="false">K5-N(L5)</f>
        <v>101443</v>
      </c>
      <c r="N5" s="13" t="n">
        <f aca="false">I5*Summary!$B$3</f>
        <v>0</v>
      </c>
      <c r="O5" s="9"/>
      <c r="P5" s="9"/>
      <c r="Q5" s="10" t="s">
        <v>46</v>
      </c>
    </row>
    <row r="6" customFormat="false" ht="15" hidden="false" customHeight="false" outlineLevel="0" collapsed="false">
      <c r="A6" s="9" t="n">
        <v>5</v>
      </c>
      <c r="B6" s="9" t="n">
        <v>206</v>
      </c>
      <c r="C6" s="10" t="s">
        <v>45</v>
      </c>
      <c r="D6" s="11" t="n">
        <v>60</v>
      </c>
      <c r="E6" s="11" t="n">
        <v>15</v>
      </c>
      <c r="F6" s="11" t="n">
        <v>900</v>
      </c>
      <c r="G6" s="9" t="s">
        <v>42</v>
      </c>
      <c r="H6" s="11" t="n">
        <v>900</v>
      </c>
      <c r="I6" s="12" t="n">
        <f aca="false">IF(G6="Unsold",F6,IF(G6="Part-sold",F6-H6,0))</f>
        <v>0</v>
      </c>
      <c r="J6" s="9" t="n">
        <v>1</v>
      </c>
      <c r="K6" s="13" t="n">
        <f aca="false">IF(OR(G6="Sold",G6="Part-sold"),H6*Summary!$B$3,0)</f>
        <v>720000</v>
      </c>
      <c r="L6" s="14" t="n">
        <v>618557</v>
      </c>
      <c r="M6" s="13" t="n">
        <f aca="false">K6-N(L6)</f>
        <v>101443</v>
      </c>
      <c r="N6" s="13" t="n">
        <f aca="false">I6*Summary!$B$3</f>
        <v>0</v>
      </c>
      <c r="O6" s="9"/>
      <c r="P6" s="9"/>
      <c r="Q6" s="10" t="s">
        <v>43</v>
      </c>
    </row>
    <row r="7" customFormat="false" ht="23.85" hidden="false" customHeight="false" outlineLevel="0" collapsed="false">
      <c r="A7" s="9" t="n">
        <v>6</v>
      </c>
      <c r="B7" s="9" t="n">
        <v>206</v>
      </c>
      <c r="C7" s="10" t="s">
        <v>45</v>
      </c>
      <c r="D7" s="11" t="n">
        <v>60</v>
      </c>
      <c r="E7" s="11" t="n">
        <v>15</v>
      </c>
      <c r="F7" s="11" t="n">
        <v>900</v>
      </c>
      <c r="G7" s="9" t="s">
        <v>42</v>
      </c>
      <c r="H7" s="11" t="n">
        <v>900</v>
      </c>
      <c r="I7" s="12" t="n">
        <f aca="false">IF(G7="Unsold",F7,IF(G7="Part-sold",F7-H7,0))</f>
        <v>0</v>
      </c>
      <c r="J7" s="9" t="n">
        <v>6</v>
      </c>
      <c r="K7" s="13" t="n">
        <f aca="false">IF(OR(G7="Sold",G7="Part-sold"),H7*Summary!$B$3,0)</f>
        <v>720000</v>
      </c>
      <c r="L7" s="14" t="n">
        <v>608000</v>
      </c>
      <c r="M7" s="13" t="n">
        <f aca="false">K7-N(L7)</f>
        <v>112000</v>
      </c>
      <c r="N7" s="13" t="n">
        <f aca="false">I7*Summary!$B$3</f>
        <v>0</v>
      </c>
      <c r="O7" s="9"/>
      <c r="P7" s="9"/>
      <c r="Q7" s="10" t="s">
        <v>47</v>
      </c>
    </row>
    <row r="8" customFormat="false" ht="15" hidden="false" customHeight="false" outlineLevel="0" collapsed="false">
      <c r="A8" s="9" t="n">
        <v>7</v>
      </c>
      <c r="B8" s="9" t="n">
        <v>206</v>
      </c>
      <c r="C8" s="10" t="s">
        <v>45</v>
      </c>
      <c r="D8" s="11" t="n">
        <v>60</v>
      </c>
      <c r="E8" s="11" t="n">
        <v>15</v>
      </c>
      <c r="F8" s="11" t="n">
        <v>900</v>
      </c>
      <c r="G8" s="9" t="s">
        <v>42</v>
      </c>
      <c r="H8" s="11" t="n">
        <v>900</v>
      </c>
      <c r="I8" s="12" t="n">
        <f aca="false">IF(G8="Unsold",F8,IF(G8="Part-sold",F8-H8,0))</f>
        <v>0</v>
      </c>
      <c r="J8" s="9" t="n">
        <v>6</v>
      </c>
      <c r="K8" s="13" t="n">
        <f aca="false">IF(OR(G8="Sold",G8="Part-sold"),H8*Summary!$B$3,0)</f>
        <v>720000</v>
      </c>
      <c r="L8" s="14" t="n">
        <v>720000</v>
      </c>
      <c r="M8" s="13" t="n">
        <f aca="false">K8-N(L8)</f>
        <v>0</v>
      </c>
      <c r="N8" s="13" t="n">
        <f aca="false">I8*Summary!$B$3</f>
        <v>0</v>
      </c>
      <c r="O8" s="9"/>
      <c r="P8" s="9"/>
      <c r="Q8" s="10"/>
    </row>
    <row r="9" customFormat="false" ht="15" hidden="false" customHeight="false" outlineLevel="0" collapsed="false">
      <c r="A9" s="9" t="n">
        <v>8</v>
      </c>
      <c r="B9" s="9" t="n">
        <v>206</v>
      </c>
      <c r="C9" s="10" t="s">
        <v>45</v>
      </c>
      <c r="D9" s="11" t="n">
        <v>60</v>
      </c>
      <c r="E9" s="11" t="n">
        <v>15</v>
      </c>
      <c r="F9" s="11" t="n">
        <v>900</v>
      </c>
      <c r="G9" s="9" t="s">
        <v>42</v>
      </c>
      <c r="H9" s="11" t="n">
        <v>900</v>
      </c>
      <c r="I9" s="12" t="n">
        <f aca="false">IF(G9="Unsold",F9,IF(G9="Part-sold",F9-H9,0))</f>
        <v>0</v>
      </c>
      <c r="J9" s="9" t="n">
        <v>6</v>
      </c>
      <c r="K9" s="13" t="n">
        <f aca="false">IF(OR(G9="Sold",G9="Part-sold"),H9*Summary!$B$3,0)</f>
        <v>720000</v>
      </c>
      <c r="L9" s="14" t="n">
        <v>720000</v>
      </c>
      <c r="M9" s="13" t="n">
        <f aca="false">K9-N(L9)</f>
        <v>0</v>
      </c>
      <c r="N9" s="13" t="n">
        <f aca="false">I9*Summary!$B$3</f>
        <v>0</v>
      </c>
      <c r="O9" s="9"/>
      <c r="P9" s="9"/>
      <c r="Q9" s="10"/>
    </row>
    <row r="10" customFormat="false" ht="15" hidden="false" customHeight="false" outlineLevel="0" collapsed="false">
      <c r="A10" s="9" t="n">
        <v>9</v>
      </c>
      <c r="B10" s="9" t="n">
        <v>206</v>
      </c>
      <c r="C10" s="10" t="s">
        <v>45</v>
      </c>
      <c r="D10" s="11" t="n">
        <v>60</v>
      </c>
      <c r="E10" s="11" t="n">
        <v>15</v>
      </c>
      <c r="F10" s="11" t="n">
        <v>900</v>
      </c>
      <c r="G10" s="9" t="s">
        <v>42</v>
      </c>
      <c r="H10" s="11" t="n">
        <v>900</v>
      </c>
      <c r="I10" s="12" t="n">
        <f aca="false">IF(G10="Unsold",F10,IF(G10="Part-sold",F10-H10,0))</f>
        <v>0</v>
      </c>
      <c r="J10" s="9"/>
      <c r="K10" s="13" t="n">
        <f aca="false">IF(OR(G10="Sold",G10="Part-sold"),H10*Summary!$B$3,0)</f>
        <v>720000</v>
      </c>
      <c r="L10" s="14" t="n">
        <v>720000</v>
      </c>
      <c r="M10" s="13" t="n">
        <f aca="false">K10-N(L10)</f>
        <v>0</v>
      </c>
      <c r="N10" s="13" t="n">
        <f aca="false">I10*Summary!$B$3</f>
        <v>0</v>
      </c>
      <c r="O10" s="9"/>
      <c r="P10" s="9"/>
      <c r="Q10" s="10"/>
    </row>
    <row r="11" customFormat="false" ht="15" hidden="false" customHeight="false" outlineLevel="0" collapsed="false">
      <c r="A11" s="9" t="n">
        <v>10</v>
      </c>
      <c r="B11" s="9" t="n">
        <v>206</v>
      </c>
      <c r="C11" s="10" t="s">
        <v>48</v>
      </c>
      <c r="D11" s="11" t="n">
        <v>91.33</v>
      </c>
      <c r="E11" s="11" t="n">
        <v>33.3</v>
      </c>
      <c r="F11" s="11" t="n">
        <v>3041.4</v>
      </c>
      <c r="G11" s="9" t="s">
        <v>49</v>
      </c>
      <c r="H11" s="11"/>
      <c r="I11" s="12" t="n">
        <f aca="false">IF(G11="Unsold",F11,IF(G11="Part-sold",F11-H11,0))</f>
        <v>3041.4</v>
      </c>
      <c r="J11" s="9"/>
      <c r="K11" s="13" t="n">
        <f aca="false">IF(OR(G11="Sold",G11="Part-sold"),H11*Summary!$B$3,0)</f>
        <v>0</v>
      </c>
      <c r="L11" s="14"/>
      <c r="M11" s="13" t="n">
        <f aca="false">K11-N(L11)</f>
        <v>0</v>
      </c>
      <c r="N11" s="13" t="n">
        <f aca="false">I11*Summary!$B$3</f>
        <v>2433120</v>
      </c>
      <c r="O11" s="9"/>
      <c r="P11" s="9"/>
      <c r="Q11" s="10"/>
    </row>
    <row r="12" customFormat="false" ht="15" hidden="false" customHeight="false" outlineLevel="0" collapsed="false">
      <c r="A12" s="9" t="n">
        <v>11</v>
      </c>
      <c r="B12" s="9" t="n">
        <v>206</v>
      </c>
      <c r="C12" s="10" t="s">
        <v>50</v>
      </c>
      <c r="D12" s="11" t="n">
        <v>70</v>
      </c>
      <c r="E12" s="11" t="n">
        <v>15</v>
      </c>
      <c r="F12" s="11" t="n">
        <v>1050</v>
      </c>
      <c r="G12" s="9" t="s">
        <v>51</v>
      </c>
      <c r="H12" s="11"/>
      <c r="I12" s="12" t="n">
        <f aca="false">IF(G12="Unsold",F12,IF(G12="Part-sold",F12-H12,0))</f>
        <v>0</v>
      </c>
      <c r="J12" s="9"/>
      <c r="K12" s="13" t="n">
        <f aca="false">IF(OR(G12="Sold",G12="Part-sold"),H12*Summary!$B$3,0)</f>
        <v>0</v>
      </c>
      <c r="L12" s="14"/>
      <c r="M12" s="13" t="n">
        <f aca="false">K12-N(L12)</f>
        <v>0</v>
      </c>
      <c r="N12" s="13" t="n">
        <f aca="false">I12*Summary!$B$3</f>
        <v>0</v>
      </c>
      <c r="O12" s="9"/>
      <c r="P12" s="9"/>
      <c r="Q12" s="10"/>
    </row>
    <row r="13" customFormat="false" ht="15" hidden="false" customHeight="false" outlineLevel="0" collapsed="false">
      <c r="A13" s="9" t="n">
        <v>12</v>
      </c>
      <c r="B13" s="9" t="n">
        <v>206</v>
      </c>
      <c r="C13" s="10" t="s">
        <v>50</v>
      </c>
      <c r="D13" s="11" t="n">
        <v>70</v>
      </c>
      <c r="E13" s="11" t="n">
        <v>15</v>
      </c>
      <c r="F13" s="11" t="n">
        <v>1050</v>
      </c>
      <c r="G13" s="9" t="s">
        <v>51</v>
      </c>
      <c r="H13" s="11"/>
      <c r="I13" s="12" t="n">
        <f aca="false">IF(G13="Unsold",F13,IF(G13="Part-sold",F13-H13,0))</f>
        <v>0</v>
      </c>
      <c r="J13" s="9"/>
      <c r="K13" s="13" t="n">
        <f aca="false">IF(OR(G13="Sold",G13="Part-sold"),H13*Summary!$B$3,0)</f>
        <v>0</v>
      </c>
      <c r="L13" s="14"/>
      <c r="M13" s="13" t="n">
        <f aca="false">K13-N(L13)</f>
        <v>0</v>
      </c>
      <c r="N13" s="13" t="n">
        <f aca="false">I13*Summary!$B$3</f>
        <v>0</v>
      </c>
      <c r="O13" s="9"/>
      <c r="P13" s="9"/>
      <c r="Q13" s="10"/>
    </row>
    <row r="14" customFormat="false" ht="15" hidden="false" customHeight="false" outlineLevel="0" collapsed="false">
      <c r="A14" s="9" t="n">
        <v>13</v>
      </c>
      <c r="B14" s="9" t="n">
        <v>206</v>
      </c>
      <c r="C14" s="10" t="s">
        <v>50</v>
      </c>
      <c r="D14" s="11" t="n">
        <v>70</v>
      </c>
      <c r="E14" s="11" t="n">
        <v>15</v>
      </c>
      <c r="F14" s="11" t="n">
        <v>1050</v>
      </c>
      <c r="G14" s="9" t="s">
        <v>51</v>
      </c>
      <c r="H14" s="11"/>
      <c r="I14" s="12" t="n">
        <f aca="false">IF(G14="Unsold",F14,IF(G14="Part-sold",F14-H14,0))</f>
        <v>0</v>
      </c>
      <c r="J14" s="9"/>
      <c r="K14" s="13" t="n">
        <f aca="false">IF(OR(G14="Sold",G14="Part-sold"),H14*Summary!$B$3,0)</f>
        <v>0</v>
      </c>
      <c r="L14" s="14"/>
      <c r="M14" s="13" t="n">
        <f aca="false">K14-N(L14)</f>
        <v>0</v>
      </c>
      <c r="N14" s="13" t="n">
        <f aca="false">I14*Summary!$B$3</f>
        <v>0</v>
      </c>
      <c r="O14" s="9"/>
      <c r="P14" s="9"/>
      <c r="Q14" s="10"/>
    </row>
    <row r="15" customFormat="false" ht="15" hidden="false" customHeight="false" outlineLevel="0" collapsed="false">
      <c r="A15" s="9" t="n">
        <v>14</v>
      </c>
      <c r="B15" s="9" t="n">
        <v>206</v>
      </c>
      <c r="C15" s="10" t="s">
        <v>50</v>
      </c>
      <c r="D15" s="11" t="n">
        <v>70</v>
      </c>
      <c r="E15" s="11" t="n">
        <v>15</v>
      </c>
      <c r="F15" s="11" t="n">
        <v>1050</v>
      </c>
      <c r="G15" s="9" t="s">
        <v>51</v>
      </c>
      <c r="H15" s="11"/>
      <c r="I15" s="12" t="n">
        <f aca="false">IF(G15="Unsold",F15,IF(G15="Part-sold",F15-H15,0))</f>
        <v>0</v>
      </c>
      <c r="J15" s="9"/>
      <c r="K15" s="13" t="n">
        <f aca="false">IF(OR(G15="Sold",G15="Part-sold"),H15*Summary!$B$3,0)</f>
        <v>0</v>
      </c>
      <c r="L15" s="14"/>
      <c r="M15" s="13" t="n">
        <f aca="false">K15-N(L15)</f>
        <v>0</v>
      </c>
      <c r="N15" s="13" t="n">
        <f aca="false">I15*Summary!$B$3</f>
        <v>0</v>
      </c>
      <c r="O15" s="9"/>
      <c r="P15" s="9"/>
      <c r="Q15" s="10"/>
    </row>
    <row r="16" customFormat="false" ht="15" hidden="false" customHeight="false" outlineLevel="0" collapsed="false">
      <c r="A16" s="9" t="n">
        <v>15</v>
      </c>
      <c r="B16" s="9" t="n">
        <v>206</v>
      </c>
      <c r="C16" s="10" t="s">
        <v>50</v>
      </c>
      <c r="D16" s="11" t="n">
        <v>70</v>
      </c>
      <c r="E16" s="11" t="n">
        <v>15</v>
      </c>
      <c r="F16" s="11" t="n">
        <v>1050</v>
      </c>
      <c r="G16" s="9" t="s">
        <v>51</v>
      </c>
      <c r="H16" s="11"/>
      <c r="I16" s="12" t="n">
        <f aca="false">IF(G16="Unsold",F16,IF(G16="Part-sold",F16-H16,0))</f>
        <v>0</v>
      </c>
      <c r="J16" s="9"/>
      <c r="K16" s="13" t="n">
        <f aca="false">IF(OR(G16="Sold",G16="Part-sold"),H16*Summary!$B$3,0)</f>
        <v>0</v>
      </c>
      <c r="L16" s="14"/>
      <c r="M16" s="13" t="n">
        <f aca="false">K16-N(L16)</f>
        <v>0</v>
      </c>
      <c r="N16" s="13" t="n">
        <f aca="false">I16*Summary!$B$3</f>
        <v>0</v>
      </c>
      <c r="O16" s="9"/>
      <c r="P16" s="9"/>
      <c r="Q16" s="10"/>
    </row>
    <row r="17" customFormat="false" ht="15" hidden="false" customHeight="false" outlineLevel="0" collapsed="false">
      <c r="A17" s="9" t="n">
        <v>16</v>
      </c>
      <c r="B17" s="9" t="n">
        <v>206</v>
      </c>
      <c r="C17" s="10" t="s">
        <v>50</v>
      </c>
      <c r="D17" s="11" t="n">
        <v>70</v>
      </c>
      <c r="E17" s="11" t="n">
        <v>15</v>
      </c>
      <c r="F17" s="11" t="n">
        <v>1050</v>
      </c>
      <c r="G17" s="9" t="s">
        <v>51</v>
      </c>
      <c r="H17" s="11"/>
      <c r="I17" s="12" t="n">
        <f aca="false">IF(G17="Unsold",F17,IF(G17="Part-sold",F17-H17,0))</f>
        <v>0</v>
      </c>
      <c r="J17" s="9"/>
      <c r="K17" s="13" t="n">
        <f aca="false">IF(OR(G17="Sold",G17="Part-sold"),H17*Summary!$B$3,0)</f>
        <v>0</v>
      </c>
      <c r="L17" s="14"/>
      <c r="M17" s="13" t="n">
        <f aca="false">K17-N(L17)</f>
        <v>0</v>
      </c>
      <c r="N17" s="13" t="n">
        <f aca="false">I17*Summary!$B$3</f>
        <v>0</v>
      </c>
      <c r="O17" s="9"/>
      <c r="P17" s="9"/>
      <c r="Q17" s="10"/>
    </row>
    <row r="18" customFormat="false" ht="15" hidden="false" customHeight="false" outlineLevel="0" collapsed="false">
      <c r="A18" s="9" t="n">
        <v>17</v>
      </c>
      <c r="B18" s="9" t="n">
        <v>206</v>
      </c>
      <c r="C18" s="10" t="s">
        <v>50</v>
      </c>
      <c r="D18" s="11" t="n">
        <v>70</v>
      </c>
      <c r="E18" s="11" t="n">
        <v>15</v>
      </c>
      <c r="F18" s="11" t="n">
        <v>1050</v>
      </c>
      <c r="G18" s="9" t="s">
        <v>51</v>
      </c>
      <c r="H18" s="11"/>
      <c r="I18" s="12" t="n">
        <f aca="false">IF(G18="Unsold",F18,IF(G18="Part-sold",F18-H18,0))</f>
        <v>0</v>
      </c>
      <c r="J18" s="9"/>
      <c r="K18" s="13" t="n">
        <f aca="false">IF(OR(G18="Sold",G18="Part-sold"),H18*Summary!$B$3,0)</f>
        <v>0</v>
      </c>
      <c r="L18" s="14"/>
      <c r="M18" s="13" t="n">
        <f aca="false">K18-N(L18)</f>
        <v>0</v>
      </c>
      <c r="N18" s="13" t="n">
        <f aca="false">I18*Summary!$B$3</f>
        <v>0</v>
      </c>
      <c r="O18" s="9"/>
      <c r="P18" s="9"/>
      <c r="Q18" s="10"/>
    </row>
    <row r="19" customFormat="false" ht="15" hidden="false" customHeight="false" outlineLevel="0" collapsed="false">
      <c r="A19" s="9" t="n">
        <v>18</v>
      </c>
      <c r="B19" s="9" t="n">
        <v>206</v>
      </c>
      <c r="C19" s="10" t="s">
        <v>50</v>
      </c>
      <c r="D19" s="11" t="n">
        <v>70</v>
      </c>
      <c r="E19" s="11" t="n">
        <v>15</v>
      </c>
      <c r="F19" s="11" t="n">
        <v>1050</v>
      </c>
      <c r="G19" s="9" t="s">
        <v>51</v>
      </c>
      <c r="H19" s="11"/>
      <c r="I19" s="12" t="n">
        <f aca="false">IF(G19="Unsold",F19,IF(G19="Part-sold",F19-H19,0))</f>
        <v>0</v>
      </c>
      <c r="J19" s="9"/>
      <c r="K19" s="13" t="n">
        <f aca="false">IF(OR(G19="Sold",G19="Part-sold"),H19*Summary!$B$3,0)</f>
        <v>0</v>
      </c>
      <c r="L19" s="14"/>
      <c r="M19" s="13" t="n">
        <f aca="false">K19-N(L19)</f>
        <v>0</v>
      </c>
      <c r="N19" s="13" t="n">
        <f aca="false">I19*Summary!$B$3</f>
        <v>0</v>
      </c>
      <c r="O19" s="9"/>
      <c r="P19" s="9"/>
      <c r="Q19" s="10"/>
    </row>
    <row r="20" customFormat="false" ht="15" hidden="false" customHeight="false" outlineLevel="0" collapsed="false">
      <c r="A20" s="9" t="s">
        <v>52</v>
      </c>
      <c r="B20" s="9" t="n">
        <v>206</v>
      </c>
      <c r="C20" s="10" t="s">
        <v>53</v>
      </c>
      <c r="D20" s="11" t="n">
        <v>70</v>
      </c>
      <c r="E20" s="11" t="n">
        <v>9</v>
      </c>
      <c r="F20" s="11" t="n">
        <v>630</v>
      </c>
      <c r="G20" s="9" t="s">
        <v>39</v>
      </c>
      <c r="H20" s="11"/>
      <c r="I20" s="12" t="n">
        <f aca="false">IF(G20="Unsold",F20,IF(G20="Part-sold",F20-H20,0))</f>
        <v>0</v>
      </c>
      <c r="J20" s="9"/>
      <c r="K20" s="13" t="n">
        <f aca="false">IF(OR(G20="Sold",G20="Part-sold"),H20*Summary!$B$3,0)</f>
        <v>0</v>
      </c>
      <c r="L20" s="14"/>
      <c r="M20" s="13" t="n">
        <f aca="false">K20-N(L20)</f>
        <v>0</v>
      </c>
      <c r="N20" s="13" t="n">
        <f aca="false">I20*Summary!$B$3</f>
        <v>0</v>
      </c>
      <c r="O20" s="9"/>
      <c r="P20" s="9"/>
      <c r="Q20" s="10" t="s">
        <v>40</v>
      </c>
    </row>
    <row r="21" customFormat="false" ht="15" hidden="false" customHeight="false" outlineLevel="0" collapsed="false">
      <c r="A21" s="9" t="s">
        <v>54</v>
      </c>
      <c r="B21" s="9" t="n">
        <v>199</v>
      </c>
      <c r="C21" s="10" t="s">
        <v>55</v>
      </c>
      <c r="D21" s="11" t="n">
        <v>31.5</v>
      </c>
      <c r="E21" s="11" t="n">
        <v>17.5</v>
      </c>
      <c r="F21" s="11" t="n">
        <v>551.25</v>
      </c>
      <c r="G21" s="9" t="s">
        <v>39</v>
      </c>
      <c r="H21" s="11"/>
      <c r="I21" s="12" t="n">
        <f aca="false">IF(G21="Unsold",F21,IF(G21="Part-sold",F21-H21,0))</f>
        <v>0</v>
      </c>
      <c r="J21" s="9"/>
      <c r="K21" s="13" t="n">
        <f aca="false">IF(OR(G21="Sold",G21="Part-sold"),H21*Summary!$B$3,0)</f>
        <v>0</v>
      </c>
      <c r="L21" s="14"/>
      <c r="M21" s="13" t="n">
        <f aca="false">K21-N(L21)</f>
        <v>0</v>
      </c>
      <c r="N21" s="13" t="n">
        <f aca="false">I21*Summary!$B$3</f>
        <v>0</v>
      </c>
      <c r="O21" s="9"/>
      <c r="P21" s="9"/>
      <c r="Q21" s="10" t="s">
        <v>40</v>
      </c>
    </row>
    <row r="22" customFormat="false" ht="15" hidden="false" customHeight="false" outlineLevel="0" collapsed="false">
      <c r="A22" s="9" t="n">
        <v>19</v>
      </c>
      <c r="B22" s="9" t="n">
        <v>199</v>
      </c>
      <c r="C22" s="10" t="s">
        <v>56</v>
      </c>
      <c r="D22" s="11" t="n">
        <v>54.5</v>
      </c>
      <c r="E22" s="11" t="n">
        <v>15</v>
      </c>
      <c r="F22" s="11" t="n">
        <v>817.5</v>
      </c>
      <c r="G22" s="9" t="s">
        <v>42</v>
      </c>
      <c r="H22" s="11" t="n">
        <v>817</v>
      </c>
      <c r="I22" s="12" t="n">
        <f aca="false">IF(G22="Unsold",F22,IF(G22="Part-sold",F22-H22,0))</f>
        <v>0</v>
      </c>
      <c r="J22" s="9" t="n">
        <v>2</v>
      </c>
      <c r="K22" s="13" t="n">
        <f aca="false">IF(OR(G22="Sold",G22="Part-sold"),H22*Summary!$B$3,0)</f>
        <v>653600</v>
      </c>
      <c r="L22" s="14" t="n">
        <v>653600</v>
      </c>
      <c r="M22" s="13" t="n">
        <f aca="false">K22-N(L22)</f>
        <v>0</v>
      </c>
      <c r="N22" s="13" t="n">
        <f aca="false">I22*Summary!$B$3</f>
        <v>0</v>
      </c>
      <c r="O22" s="9"/>
      <c r="P22" s="9"/>
      <c r="Q22" s="10"/>
    </row>
    <row r="23" customFormat="false" ht="15" hidden="false" customHeight="false" outlineLevel="0" collapsed="false">
      <c r="A23" s="9" t="n">
        <v>20</v>
      </c>
      <c r="B23" s="9" t="n">
        <v>199</v>
      </c>
      <c r="C23" s="10" t="s">
        <v>57</v>
      </c>
      <c r="D23" s="11" t="n">
        <v>53.75</v>
      </c>
      <c r="E23" s="11" t="n">
        <v>15</v>
      </c>
      <c r="F23" s="11" t="n">
        <v>806.25</v>
      </c>
      <c r="G23" s="9" t="s">
        <v>42</v>
      </c>
      <c r="H23" s="11" t="n">
        <v>806</v>
      </c>
      <c r="I23" s="12" t="n">
        <f aca="false">IF(G23="Unsold",F23,IF(G23="Part-sold",F23-H23,0))</f>
        <v>0</v>
      </c>
      <c r="J23" s="9" t="n">
        <v>2</v>
      </c>
      <c r="K23" s="13" t="n">
        <f aca="false">IF(OR(G23="Sold",G23="Part-sold"),H23*Summary!$B$3,0)</f>
        <v>644800</v>
      </c>
      <c r="L23" s="14" t="n">
        <v>644800</v>
      </c>
      <c r="M23" s="13" t="n">
        <f aca="false">K23-N(L23)</f>
        <v>0</v>
      </c>
      <c r="N23" s="13" t="n">
        <f aca="false">I23*Summary!$B$3</f>
        <v>0</v>
      </c>
      <c r="O23" s="9"/>
      <c r="P23" s="9"/>
      <c r="Q23" s="10"/>
    </row>
    <row r="24" customFormat="false" ht="15" hidden="false" customHeight="false" outlineLevel="0" collapsed="false">
      <c r="A24" s="9" t="n">
        <v>21</v>
      </c>
      <c r="B24" s="9" t="n">
        <v>199</v>
      </c>
      <c r="C24" s="10" t="s">
        <v>58</v>
      </c>
      <c r="D24" s="11" t="n">
        <v>53.25</v>
      </c>
      <c r="E24" s="11" t="n">
        <v>15</v>
      </c>
      <c r="F24" s="11" t="n">
        <v>798.75</v>
      </c>
      <c r="G24" s="9" t="s">
        <v>42</v>
      </c>
      <c r="H24" s="11" t="n">
        <v>795</v>
      </c>
      <c r="I24" s="12" t="n">
        <f aca="false">IF(G24="Unsold",F24,IF(G24="Part-sold",F24-H24,0))</f>
        <v>0</v>
      </c>
      <c r="J24" s="9" t="n">
        <v>2</v>
      </c>
      <c r="K24" s="13" t="n">
        <f aca="false">IF(OR(G24="Sold",G24="Part-sold"),H24*Summary!$B$3,0)</f>
        <v>636000</v>
      </c>
      <c r="L24" s="14" t="n">
        <v>636000</v>
      </c>
      <c r="M24" s="13" t="n">
        <f aca="false">K24-N(L24)</f>
        <v>0</v>
      </c>
      <c r="N24" s="13" t="n">
        <f aca="false">I24*Summary!$B$3</f>
        <v>0</v>
      </c>
      <c r="O24" s="9"/>
      <c r="P24" s="9"/>
      <c r="Q24" s="10"/>
    </row>
    <row r="25" customFormat="false" ht="15" hidden="false" customHeight="false" outlineLevel="0" collapsed="false">
      <c r="A25" s="9" t="n">
        <v>22</v>
      </c>
      <c r="B25" s="9" t="n">
        <v>199</v>
      </c>
      <c r="C25" s="10" t="s">
        <v>59</v>
      </c>
      <c r="D25" s="11" t="n">
        <v>53</v>
      </c>
      <c r="E25" s="11" t="n">
        <v>15</v>
      </c>
      <c r="F25" s="11" t="n">
        <v>795</v>
      </c>
      <c r="G25" s="9" t="s">
        <v>42</v>
      </c>
      <c r="H25" s="11" t="n">
        <v>795</v>
      </c>
      <c r="I25" s="12" t="n">
        <f aca="false">IF(G25="Unsold",F25,IF(G25="Part-sold",F25-H25,0))</f>
        <v>0</v>
      </c>
      <c r="J25" s="9" t="n">
        <v>2</v>
      </c>
      <c r="K25" s="13" t="n">
        <f aca="false">IF(OR(G25="Sold",G25="Part-sold"),H25*Summary!$B$3,0)</f>
        <v>636000</v>
      </c>
      <c r="L25" s="14" t="n">
        <v>636000</v>
      </c>
      <c r="M25" s="13" t="n">
        <f aca="false">K25-N(L25)</f>
        <v>0</v>
      </c>
      <c r="N25" s="13" t="n">
        <f aca="false">I25*Summary!$B$3</f>
        <v>0</v>
      </c>
      <c r="O25" s="9"/>
      <c r="P25" s="9"/>
      <c r="Q25" s="10"/>
    </row>
    <row r="26" customFormat="false" ht="15" hidden="false" customHeight="false" outlineLevel="0" collapsed="false">
      <c r="A26" s="9" t="n">
        <v>23</v>
      </c>
      <c r="B26" s="9" t="n">
        <v>199</v>
      </c>
      <c r="C26" s="10" t="s">
        <v>60</v>
      </c>
      <c r="D26" s="11" t="n">
        <v>52.5</v>
      </c>
      <c r="E26" s="11" t="n">
        <v>15</v>
      </c>
      <c r="F26" s="11" t="n">
        <v>787.5</v>
      </c>
      <c r="G26" s="9" t="s">
        <v>42</v>
      </c>
      <c r="H26" s="11" t="n">
        <v>787</v>
      </c>
      <c r="I26" s="12" t="n">
        <f aca="false">IF(G26="Unsold",F26,IF(G26="Part-sold",F26-H26,0))</f>
        <v>0</v>
      </c>
      <c r="J26" s="9" t="n">
        <v>2</v>
      </c>
      <c r="K26" s="13" t="n">
        <f aca="false">IF(OR(G26="Sold",G26="Part-sold"),H26*Summary!$B$3,0)</f>
        <v>629600</v>
      </c>
      <c r="L26" s="14" t="n">
        <v>629600</v>
      </c>
      <c r="M26" s="13" t="n">
        <f aca="false">K26-N(L26)</f>
        <v>0</v>
      </c>
      <c r="N26" s="13" t="n">
        <f aca="false">I26*Summary!$B$3</f>
        <v>0</v>
      </c>
      <c r="O26" s="9"/>
      <c r="P26" s="9"/>
      <c r="Q26" s="10"/>
    </row>
    <row r="27" customFormat="false" ht="15" hidden="false" customHeight="false" outlineLevel="0" collapsed="false">
      <c r="A27" s="9" t="n">
        <v>24</v>
      </c>
      <c r="B27" s="9" t="n">
        <v>199</v>
      </c>
      <c r="C27" s="10" t="s">
        <v>61</v>
      </c>
      <c r="D27" s="11" t="n">
        <v>53</v>
      </c>
      <c r="E27" s="11" t="n">
        <v>15</v>
      </c>
      <c r="F27" s="11" t="n">
        <v>795</v>
      </c>
      <c r="G27" s="9" t="s">
        <v>42</v>
      </c>
      <c r="H27" s="11" t="n">
        <v>795</v>
      </c>
      <c r="I27" s="12" t="n">
        <f aca="false">IF(G27="Unsold",F27,IF(G27="Part-sold",F27-H27,0))</f>
        <v>0</v>
      </c>
      <c r="J27" s="9"/>
      <c r="K27" s="13" t="n">
        <f aca="false">IF(OR(G27="Sold",G27="Part-sold"),H27*Summary!$B$3,0)</f>
        <v>636000</v>
      </c>
      <c r="L27" s="14" t="n">
        <v>636000</v>
      </c>
      <c r="M27" s="13" t="n">
        <f aca="false">K27-N(L27)</f>
        <v>0</v>
      </c>
      <c r="N27" s="13" t="n">
        <f aca="false">I27*Summary!$B$3</f>
        <v>0</v>
      </c>
      <c r="O27" s="9"/>
      <c r="P27" s="9"/>
      <c r="Q27" s="10"/>
    </row>
    <row r="28" customFormat="false" ht="15" hidden="false" customHeight="false" outlineLevel="0" collapsed="false">
      <c r="A28" s="9" t="n">
        <v>25</v>
      </c>
      <c r="B28" s="9" t="n">
        <v>199</v>
      </c>
      <c r="C28" s="10" t="s">
        <v>62</v>
      </c>
      <c r="D28" s="11" t="n">
        <v>54.25</v>
      </c>
      <c r="E28" s="11" t="n">
        <v>15</v>
      </c>
      <c r="F28" s="11" t="n">
        <v>813.75</v>
      </c>
      <c r="G28" s="9" t="s">
        <v>42</v>
      </c>
      <c r="H28" s="11" t="n">
        <v>810</v>
      </c>
      <c r="I28" s="12" t="n">
        <f aca="false">IF(G28="Unsold",F28,IF(G28="Part-sold",F28-H28,0))</f>
        <v>0</v>
      </c>
      <c r="J28" s="9"/>
      <c r="K28" s="13" t="n">
        <f aca="false">IF(OR(G28="Sold",G28="Part-sold"),H28*Summary!$B$3,0)</f>
        <v>648000</v>
      </c>
      <c r="L28" s="14" t="n">
        <v>648000</v>
      </c>
      <c r="M28" s="13" t="n">
        <f aca="false">K28-N(L28)</f>
        <v>0</v>
      </c>
      <c r="N28" s="13" t="n">
        <f aca="false">I28*Summary!$B$3</f>
        <v>0</v>
      </c>
      <c r="O28" s="9"/>
      <c r="P28" s="9"/>
      <c r="Q28" s="10"/>
    </row>
    <row r="29" customFormat="false" ht="15" hidden="false" customHeight="false" outlineLevel="0" collapsed="false">
      <c r="A29" s="9" t="n">
        <v>26</v>
      </c>
      <c r="B29" s="9" t="n">
        <v>199</v>
      </c>
      <c r="C29" s="10" t="s">
        <v>63</v>
      </c>
      <c r="D29" s="11" t="n">
        <v>51.75</v>
      </c>
      <c r="E29" s="11" t="n">
        <v>15</v>
      </c>
      <c r="F29" s="11" t="n">
        <v>776.25</v>
      </c>
      <c r="G29" s="9" t="s">
        <v>42</v>
      </c>
      <c r="H29" s="11" t="n">
        <v>772</v>
      </c>
      <c r="I29" s="12" t="n">
        <f aca="false">IF(G29="Unsold",F29,IF(G29="Part-sold",F29-H29,0))</f>
        <v>0</v>
      </c>
      <c r="J29" s="9" t="n">
        <v>4</v>
      </c>
      <c r="K29" s="13" t="n">
        <f aca="false">IF(OR(G29="Sold",G29="Part-sold"),H29*Summary!$B$3,0)</f>
        <v>617600</v>
      </c>
      <c r="L29" s="14" t="n">
        <v>617600</v>
      </c>
      <c r="M29" s="13" t="n">
        <f aca="false">K29-N(L29)</f>
        <v>0</v>
      </c>
      <c r="N29" s="13" t="n">
        <f aca="false">I29*Summary!$B$3</f>
        <v>0</v>
      </c>
      <c r="O29" s="9"/>
      <c r="P29" s="9"/>
      <c r="Q29" s="10"/>
    </row>
    <row r="30" customFormat="false" ht="35.05" hidden="false" customHeight="false" outlineLevel="0" collapsed="false">
      <c r="A30" s="9" t="n">
        <v>27</v>
      </c>
      <c r="B30" s="9" t="n">
        <v>199</v>
      </c>
      <c r="C30" s="10" t="s">
        <v>64</v>
      </c>
      <c r="D30" s="11" t="n">
        <v>51</v>
      </c>
      <c r="E30" s="11" t="n">
        <v>10.5</v>
      </c>
      <c r="F30" s="11" t="n">
        <v>535.5</v>
      </c>
      <c r="G30" s="9" t="s">
        <v>42</v>
      </c>
      <c r="H30" s="11" t="n">
        <v>462</v>
      </c>
      <c r="I30" s="12" t="n">
        <f aca="false">IF(G30="Unsold",F30,IF(G30="Part-sold",F30-H30,0))</f>
        <v>0</v>
      </c>
      <c r="J30" s="9" t="n">
        <v>4</v>
      </c>
      <c r="K30" s="13" t="n">
        <f aca="false">IF(OR(G30="Sold",G30="Part-sold"),H30*Summary!$B$3,0)</f>
        <v>369600</v>
      </c>
      <c r="L30" s="14" t="n">
        <v>369600</v>
      </c>
      <c r="M30" s="13" t="n">
        <f aca="false">K30-N(L30)</f>
        <v>0</v>
      </c>
      <c r="N30" s="13" t="n">
        <f aca="false">I30*Summary!$B$3</f>
        <v>0</v>
      </c>
      <c r="O30" s="9"/>
      <c r="P30" s="9"/>
      <c r="Q30" s="10" t="s">
        <v>65</v>
      </c>
    </row>
    <row r="31" customFormat="false" ht="15" hidden="false" customHeight="false" outlineLevel="0" collapsed="false">
      <c r="A31" s="9" t="n">
        <v>28</v>
      </c>
      <c r="B31" s="9" t="n">
        <v>198</v>
      </c>
      <c r="C31" s="10" t="s">
        <v>66</v>
      </c>
      <c r="D31" s="11" t="n">
        <v>34</v>
      </c>
      <c r="E31" s="11" t="n">
        <v>15</v>
      </c>
      <c r="F31" s="11" t="n">
        <v>510</v>
      </c>
      <c r="G31" s="9" t="s">
        <v>42</v>
      </c>
      <c r="H31" s="11" t="n">
        <v>462</v>
      </c>
      <c r="I31" s="12" t="n">
        <f aca="false">IF(G31="Unsold",F31,IF(G31="Part-sold",F31-H31,0))</f>
        <v>0</v>
      </c>
      <c r="J31" s="9" t="n">
        <v>8</v>
      </c>
      <c r="K31" s="13" t="n">
        <f aca="false">IF(OR(G31="Sold",G31="Part-sold"),H31*Summary!$B$3,0)</f>
        <v>369600</v>
      </c>
      <c r="L31" s="14" t="n">
        <v>369600</v>
      </c>
      <c r="M31" s="13" t="n">
        <f aca="false">K31-N(L31)</f>
        <v>0</v>
      </c>
      <c r="N31" s="13" t="n">
        <f aca="false">I31*Summary!$B$3</f>
        <v>0</v>
      </c>
      <c r="O31" s="9"/>
      <c r="P31" s="9"/>
      <c r="Q31" s="10" t="s">
        <v>67</v>
      </c>
    </row>
    <row r="32" customFormat="false" ht="15" hidden="false" customHeight="false" outlineLevel="0" collapsed="false">
      <c r="A32" s="9" t="n">
        <v>29</v>
      </c>
      <c r="B32" s="9" t="n">
        <v>198</v>
      </c>
      <c r="C32" s="10" t="s">
        <v>68</v>
      </c>
      <c r="D32" s="11" t="n">
        <v>34.5</v>
      </c>
      <c r="E32" s="11" t="n">
        <v>15</v>
      </c>
      <c r="F32" s="11" t="n">
        <v>517.5</v>
      </c>
      <c r="G32" s="9" t="s">
        <v>42</v>
      </c>
      <c r="H32" s="11" t="n">
        <v>510</v>
      </c>
      <c r="I32" s="12" t="n">
        <f aca="false">IF(G32="Unsold",F32,IF(G32="Part-sold",F32-H32,0))</f>
        <v>0</v>
      </c>
      <c r="J32" s="9" t="n">
        <v>8</v>
      </c>
      <c r="K32" s="13" t="n">
        <f aca="false">IF(OR(G32="Sold",G32="Part-sold"),H32*Summary!$B$3,0)</f>
        <v>408000</v>
      </c>
      <c r="L32" s="14" t="n">
        <v>408000</v>
      </c>
      <c r="M32" s="13" t="n">
        <f aca="false">K32-N(L32)</f>
        <v>0</v>
      </c>
      <c r="N32" s="13" t="n">
        <f aca="false">I32*Summary!$B$3</f>
        <v>0</v>
      </c>
      <c r="O32" s="9"/>
      <c r="P32" s="9"/>
      <c r="Q32" s="10" t="s">
        <v>67</v>
      </c>
    </row>
    <row r="33" customFormat="false" ht="15" hidden="false" customHeight="false" outlineLevel="0" collapsed="false">
      <c r="A33" s="9" t="n">
        <v>30</v>
      </c>
      <c r="B33" s="9" t="n">
        <v>198</v>
      </c>
      <c r="C33" s="10" t="s">
        <v>69</v>
      </c>
      <c r="D33" s="11" t="n">
        <v>38</v>
      </c>
      <c r="E33" s="11" t="n">
        <v>15</v>
      </c>
      <c r="F33" s="11" t="n">
        <v>570</v>
      </c>
      <c r="G33" s="9" t="s">
        <v>42</v>
      </c>
      <c r="H33" s="11" t="n">
        <v>517</v>
      </c>
      <c r="I33" s="12" t="n">
        <f aca="false">IF(G33="Unsold",F33,IF(G33="Part-sold",F33-H33,0))</f>
        <v>0</v>
      </c>
      <c r="J33" s="9" t="n">
        <v>8</v>
      </c>
      <c r="K33" s="13" t="n">
        <f aca="false">IF(OR(G33="Sold",G33="Part-sold"),H33*Summary!$B$3,0)</f>
        <v>413600</v>
      </c>
      <c r="L33" s="14" t="n">
        <v>413600</v>
      </c>
      <c r="M33" s="13" t="n">
        <f aca="false">K33-N(L33)</f>
        <v>0</v>
      </c>
      <c r="N33" s="13" t="n">
        <f aca="false">I33*Summary!$B$3</f>
        <v>0</v>
      </c>
      <c r="O33" s="9"/>
      <c r="P33" s="9"/>
      <c r="Q33" s="10" t="s">
        <v>67</v>
      </c>
    </row>
    <row r="34" customFormat="false" ht="23.85" hidden="false" customHeight="false" outlineLevel="0" collapsed="false">
      <c r="A34" s="9" t="n">
        <v>31</v>
      </c>
      <c r="B34" s="9" t="n">
        <v>196</v>
      </c>
      <c r="C34" s="10" t="s">
        <v>70</v>
      </c>
      <c r="D34" s="11" t="n">
        <v>57.5</v>
      </c>
      <c r="E34" s="11" t="n">
        <v>19</v>
      </c>
      <c r="F34" s="11" t="n">
        <v>1092.5</v>
      </c>
      <c r="G34" s="9" t="s">
        <v>42</v>
      </c>
      <c r="H34" s="11" t="n">
        <v>1092.5</v>
      </c>
      <c r="I34" s="12" t="n">
        <f aca="false">IF(G34="Unsold",F34,IF(G34="Part-sold",F34-H34,0))</f>
        <v>0</v>
      </c>
      <c r="J34" s="9"/>
      <c r="K34" s="13" t="n">
        <f aca="false">IF(OR(G34="Sold",G34="Part-sold"),H34*Summary!$B$3,0)</f>
        <v>874000</v>
      </c>
      <c r="L34" s="14" t="n">
        <v>0</v>
      </c>
      <c r="M34" s="13" t="n">
        <f aca="false">K34-N(L34)</f>
        <v>874000</v>
      </c>
      <c r="N34" s="13" t="n">
        <f aca="false">I34*Summary!$B$3</f>
        <v>0</v>
      </c>
      <c r="O34" s="9"/>
      <c r="P34" s="9" t="s">
        <v>71</v>
      </c>
      <c r="Q34" s="10" t="s">
        <v>72</v>
      </c>
    </row>
    <row r="35" customFormat="false" ht="15" hidden="false" customHeight="false" outlineLevel="0" collapsed="false">
      <c r="A35" s="9" t="n">
        <v>32</v>
      </c>
      <c r="B35" s="9" t="n">
        <v>196</v>
      </c>
      <c r="C35" s="10" t="s">
        <v>73</v>
      </c>
      <c r="D35" s="11" t="n">
        <v>80.25</v>
      </c>
      <c r="E35" s="11" t="n">
        <v>15</v>
      </c>
      <c r="F35" s="11" t="n">
        <v>1203.75</v>
      </c>
      <c r="G35" s="9" t="s">
        <v>42</v>
      </c>
      <c r="H35" s="11" t="n">
        <v>1200</v>
      </c>
      <c r="I35" s="12" t="n">
        <f aca="false">IF(G35="Unsold",F35,IF(G35="Part-sold",F35-H35,0))</f>
        <v>0</v>
      </c>
      <c r="J35" s="9"/>
      <c r="K35" s="13" t="n">
        <f aca="false">IF(OR(G35="Sold",G35="Part-sold"),H35*Summary!$B$3,0)</f>
        <v>960000</v>
      </c>
      <c r="L35" s="14" t="n">
        <v>960000</v>
      </c>
      <c r="M35" s="13" t="n">
        <f aca="false">K35-N(L35)</f>
        <v>0</v>
      </c>
      <c r="N35" s="13" t="n">
        <f aca="false">I35*Summary!$B$3</f>
        <v>0</v>
      </c>
      <c r="O35" s="9"/>
      <c r="P35" s="9"/>
      <c r="Q35" s="10"/>
    </row>
    <row r="36" customFormat="false" ht="15" hidden="false" customHeight="false" outlineLevel="0" collapsed="false">
      <c r="A36" s="9" t="n">
        <v>33</v>
      </c>
      <c r="B36" s="9" t="n">
        <v>196</v>
      </c>
      <c r="C36" s="10" t="s">
        <v>74</v>
      </c>
      <c r="D36" s="11" t="n">
        <v>93.5</v>
      </c>
      <c r="E36" s="11" t="n">
        <v>15</v>
      </c>
      <c r="F36" s="11" t="n">
        <v>1402.5</v>
      </c>
      <c r="G36" s="9" t="s">
        <v>42</v>
      </c>
      <c r="H36" s="11" t="n">
        <v>1402</v>
      </c>
      <c r="I36" s="12" t="n">
        <f aca="false">IF(G36="Unsold",F36,IF(G36="Part-sold",F36-H36,0))</f>
        <v>0</v>
      </c>
      <c r="J36" s="9"/>
      <c r="K36" s="13" t="n">
        <f aca="false">IF(OR(G36="Sold",G36="Part-sold"),H36*Summary!$B$3,0)</f>
        <v>1121600</v>
      </c>
      <c r="L36" s="14" t="n">
        <v>1121600</v>
      </c>
      <c r="M36" s="13" t="n">
        <f aca="false">K36-N(L36)</f>
        <v>0</v>
      </c>
      <c r="N36" s="13" t="n">
        <f aca="false">I36*Summary!$B$3</f>
        <v>0</v>
      </c>
      <c r="O36" s="9"/>
      <c r="P36" s="9"/>
      <c r="Q36" s="10" t="s">
        <v>75</v>
      </c>
    </row>
    <row r="37" customFormat="false" ht="23.85" hidden="false" customHeight="false" outlineLevel="0" collapsed="false">
      <c r="A37" s="9" t="n">
        <v>34</v>
      </c>
      <c r="B37" s="9" t="n">
        <v>196</v>
      </c>
      <c r="C37" s="10" t="s">
        <v>76</v>
      </c>
      <c r="D37" s="11" t="n">
        <v>110.5</v>
      </c>
      <c r="E37" s="11" t="n">
        <v>13.5</v>
      </c>
      <c r="F37" s="11" t="n">
        <v>1492</v>
      </c>
      <c r="G37" s="9" t="s">
        <v>77</v>
      </c>
      <c r="H37" s="11" t="n">
        <v>880</v>
      </c>
      <c r="I37" s="12" t="n">
        <f aca="false">IF(G37="Unsold",F37,IF(G37="Part-sold",F37-H37,0))</f>
        <v>612</v>
      </c>
      <c r="J37" s="9" t="n">
        <v>1</v>
      </c>
      <c r="K37" s="13" t="n">
        <f aca="false">IF(OR(G37="Sold",G37="Part-sold"),H37*Summary!$B$3,0)</f>
        <v>704000</v>
      </c>
      <c r="L37" s="14" t="n">
        <v>604811</v>
      </c>
      <c r="M37" s="13" t="n">
        <f aca="false">K37-N(L37)</f>
        <v>99189</v>
      </c>
      <c r="N37" s="13" t="n">
        <f aca="false">I37*Summary!$B$3</f>
        <v>489600</v>
      </c>
      <c r="O37" s="9"/>
      <c r="P37" s="9"/>
      <c r="Q37" s="10" t="s">
        <v>78</v>
      </c>
    </row>
    <row r="38" customFormat="false" ht="15" hidden="false" customHeight="false" outlineLevel="0" collapsed="false">
      <c r="A38" s="9" t="n">
        <v>35</v>
      </c>
      <c r="B38" s="9" t="n">
        <v>196</v>
      </c>
      <c r="C38" s="10" t="s">
        <v>45</v>
      </c>
      <c r="D38" s="11" t="n">
        <v>60</v>
      </c>
      <c r="E38" s="11" t="n">
        <v>15</v>
      </c>
      <c r="F38" s="11" t="n">
        <v>900</v>
      </c>
      <c r="G38" s="9" t="s">
        <v>42</v>
      </c>
      <c r="H38" s="11" t="n">
        <v>900</v>
      </c>
      <c r="I38" s="12" t="n">
        <f aca="false">IF(G38="Unsold",F38,IF(G38="Part-sold",F38-H38,0))</f>
        <v>0</v>
      </c>
      <c r="J38" s="9" t="n">
        <v>1</v>
      </c>
      <c r="K38" s="13" t="n">
        <f aca="false">IF(OR(G38="Sold",G38="Part-sold"),H38*Summary!$B$3,0)</f>
        <v>720000</v>
      </c>
      <c r="L38" s="14" t="n">
        <v>618557</v>
      </c>
      <c r="M38" s="13" t="n">
        <f aca="false">K38-N(L38)</f>
        <v>101443</v>
      </c>
      <c r="N38" s="13" t="n">
        <f aca="false">I38*Summary!$B$3</f>
        <v>0</v>
      </c>
      <c r="O38" s="9"/>
      <c r="P38" s="9"/>
      <c r="Q38" s="10" t="s">
        <v>43</v>
      </c>
    </row>
    <row r="39" customFormat="false" ht="15" hidden="false" customHeight="false" outlineLevel="0" collapsed="false">
      <c r="A39" s="9" t="n">
        <v>36</v>
      </c>
      <c r="B39" s="9" t="n">
        <v>196</v>
      </c>
      <c r="C39" s="10" t="s">
        <v>45</v>
      </c>
      <c r="D39" s="11" t="n">
        <v>60</v>
      </c>
      <c r="E39" s="11" t="n">
        <v>15</v>
      </c>
      <c r="F39" s="11" t="n">
        <v>900</v>
      </c>
      <c r="G39" s="9" t="s">
        <v>42</v>
      </c>
      <c r="H39" s="11" t="n">
        <v>900</v>
      </c>
      <c r="I39" s="12" t="n">
        <f aca="false">IF(G39="Unsold",F39,IF(G39="Part-sold",F39-H39,0))</f>
        <v>0</v>
      </c>
      <c r="J39" s="9" t="n">
        <v>7</v>
      </c>
      <c r="K39" s="13" t="n">
        <f aca="false">IF(OR(G39="Sold",G39="Part-sold"),H39*Summary!$B$3,0)</f>
        <v>720000</v>
      </c>
      <c r="L39" s="14" t="n">
        <v>720000</v>
      </c>
      <c r="M39" s="13" t="n">
        <f aca="false">K39-N(L39)</f>
        <v>0</v>
      </c>
      <c r="N39" s="13" t="n">
        <f aca="false">I39*Summary!$B$3</f>
        <v>0</v>
      </c>
      <c r="O39" s="9"/>
      <c r="P39" s="9"/>
      <c r="Q39" s="10"/>
    </row>
    <row r="40" customFormat="false" ht="15" hidden="false" customHeight="false" outlineLevel="0" collapsed="false">
      <c r="A40" s="9" t="n">
        <v>37</v>
      </c>
      <c r="B40" s="9" t="n">
        <v>196</v>
      </c>
      <c r="C40" s="10" t="s">
        <v>45</v>
      </c>
      <c r="D40" s="11" t="n">
        <v>60</v>
      </c>
      <c r="E40" s="11" t="n">
        <v>15</v>
      </c>
      <c r="F40" s="11" t="n">
        <v>900</v>
      </c>
      <c r="G40" s="9" t="s">
        <v>42</v>
      </c>
      <c r="H40" s="11" t="n">
        <v>900</v>
      </c>
      <c r="I40" s="12" t="n">
        <f aca="false">IF(G40="Unsold",F40,IF(G40="Part-sold",F40-H40,0))</f>
        <v>0</v>
      </c>
      <c r="J40" s="9" t="n">
        <v>7</v>
      </c>
      <c r="K40" s="13" t="n">
        <f aca="false">IF(OR(G40="Sold",G40="Part-sold"),H40*Summary!$B$3,0)</f>
        <v>720000</v>
      </c>
      <c r="L40" s="14" t="n">
        <v>720000</v>
      </c>
      <c r="M40" s="13" t="n">
        <f aca="false">K40-N(L40)</f>
        <v>0</v>
      </c>
      <c r="N40" s="13" t="n">
        <f aca="false">I40*Summary!$B$3</f>
        <v>0</v>
      </c>
      <c r="O40" s="9"/>
      <c r="P40" s="9"/>
      <c r="Q40" s="10"/>
    </row>
    <row r="41" customFormat="false" ht="15" hidden="false" customHeight="false" outlineLevel="0" collapsed="false">
      <c r="A41" s="9" t="n">
        <v>38</v>
      </c>
      <c r="B41" s="9" t="n">
        <v>196</v>
      </c>
      <c r="C41" s="10" t="s">
        <v>45</v>
      </c>
      <c r="D41" s="11" t="n">
        <v>60</v>
      </c>
      <c r="E41" s="11" t="n">
        <v>15</v>
      </c>
      <c r="F41" s="11" t="n">
        <v>900</v>
      </c>
      <c r="G41" s="9" t="s">
        <v>42</v>
      </c>
      <c r="H41" s="11" t="n">
        <v>900</v>
      </c>
      <c r="I41" s="12" t="n">
        <f aca="false">IF(G41="Unsold",F41,IF(G41="Part-sold",F41-H41,0))</f>
        <v>0</v>
      </c>
      <c r="J41" s="9" t="n">
        <v>7</v>
      </c>
      <c r="K41" s="13" t="n">
        <f aca="false">IF(OR(G41="Sold",G41="Part-sold"),H41*Summary!$B$3,0)</f>
        <v>720000</v>
      </c>
      <c r="L41" s="14" t="n">
        <v>720000</v>
      </c>
      <c r="M41" s="13" t="n">
        <f aca="false">K41-N(L41)</f>
        <v>0</v>
      </c>
      <c r="N41" s="13" t="n">
        <f aca="false">I41*Summary!$B$3</f>
        <v>0</v>
      </c>
      <c r="O41" s="9"/>
      <c r="P41" s="9"/>
      <c r="Q41" s="10"/>
    </row>
    <row r="42" customFormat="false" ht="15" hidden="false" customHeight="false" outlineLevel="0" collapsed="false">
      <c r="A42" s="9" t="n">
        <v>39</v>
      </c>
      <c r="B42" s="9" t="n">
        <v>196</v>
      </c>
      <c r="C42" s="10" t="s">
        <v>45</v>
      </c>
      <c r="D42" s="11" t="n">
        <v>60</v>
      </c>
      <c r="E42" s="11" t="n">
        <v>15</v>
      </c>
      <c r="F42" s="11" t="n">
        <v>900</v>
      </c>
      <c r="G42" s="9" t="s">
        <v>42</v>
      </c>
      <c r="H42" s="11" t="n">
        <v>900</v>
      </c>
      <c r="I42" s="12" t="n">
        <f aca="false">IF(G42="Unsold",F42,IF(G42="Part-sold",F42-H42,0))</f>
        <v>0</v>
      </c>
      <c r="J42" s="9" t="n">
        <v>7</v>
      </c>
      <c r="K42" s="13" t="n">
        <f aca="false">IF(OR(G42="Sold",G42="Part-sold"),H42*Summary!$B$3,0)</f>
        <v>720000</v>
      </c>
      <c r="L42" s="14" t="n">
        <v>720000</v>
      </c>
      <c r="M42" s="13" t="n">
        <f aca="false">K42-N(L42)</f>
        <v>0</v>
      </c>
      <c r="N42" s="13" t="n">
        <f aca="false">I42*Summary!$B$3</f>
        <v>0</v>
      </c>
      <c r="O42" s="9"/>
      <c r="P42" s="9"/>
      <c r="Q42" s="10"/>
    </row>
    <row r="43" customFormat="false" ht="15" hidden="false" customHeight="false" outlineLevel="0" collapsed="false">
      <c r="A43" s="9" t="n">
        <v>40</v>
      </c>
      <c r="B43" s="9" t="n">
        <v>196</v>
      </c>
      <c r="C43" s="10" t="s">
        <v>45</v>
      </c>
      <c r="D43" s="11" t="n">
        <v>60</v>
      </c>
      <c r="E43" s="11" t="n">
        <v>15</v>
      </c>
      <c r="F43" s="11" t="n">
        <v>900</v>
      </c>
      <c r="G43" s="9" t="s">
        <v>42</v>
      </c>
      <c r="H43" s="11" t="n">
        <v>900</v>
      </c>
      <c r="I43" s="12" t="n">
        <f aca="false">IF(G43="Unsold",F43,IF(G43="Part-sold",F43-H43,0))</f>
        <v>0</v>
      </c>
      <c r="J43" s="9" t="n">
        <v>7</v>
      </c>
      <c r="K43" s="13" t="n">
        <f aca="false">IF(OR(G43="Sold",G43="Part-sold"),H43*Summary!$B$3,0)</f>
        <v>720000</v>
      </c>
      <c r="L43" s="14" t="n">
        <v>720000</v>
      </c>
      <c r="M43" s="13" t="n">
        <f aca="false">K43-N(L43)</f>
        <v>0</v>
      </c>
      <c r="N43" s="13" t="n">
        <f aca="false">I43*Summary!$B$3</f>
        <v>0</v>
      </c>
      <c r="O43" s="9"/>
      <c r="P43" s="9"/>
      <c r="Q43" s="10"/>
    </row>
    <row r="44" customFormat="false" ht="15" hidden="false" customHeight="false" outlineLevel="0" collapsed="false">
      <c r="A44" s="9" t="n">
        <v>41</v>
      </c>
      <c r="B44" s="9" t="n">
        <v>196</v>
      </c>
      <c r="C44" s="10" t="s">
        <v>79</v>
      </c>
      <c r="D44" s="11" t="n">
        <v>60</v>
      </c>
      <c r="E44" s="11" t="n">
        <v>20</v>
      </c>
      <c r="F44" s="11" t="n">
        <v>1200</v>
      </c>
      <c r="G44" s="9" t="s">
        <v>42</v>
      </c>
      <c r="H44" s="11" t="n">
        <v>1200</v>
      </c>
      <c r="I44" s="12" t="n">
        <f aca="false">IF(G44="Unsold",F44,IF(G44="Part-sold",F44-H44,0))</f>
        <v>0</v>
      </c>
      <c r="J44" s="9" t="n">
        <v>7</v>
      </c>
      <c r="K44" s="13" t="n">
        <f aca="false">IF(OR(G44="Sold",G44="Part-sold"),H44*Summary!$B$3,0)</f>
        <v>960000</v>
      </c>
      <c r="L44" s="14" t="n">
        <v>960000</v>
      </c>
      <c r="M44" s="13" t="n">
        <f aca="false">K44-N(L44)</f>
        <v>0</v>
      </c>
      <c r="N44" s="13" t="n">
        <f aca="false">I44*Summary!$B$3</f>
        <v>0</v>
      </c>
      <c r="O44" s="9"/>
      <c r="P44" s="9"/>
      <c r="Q44" s="10"/>
    </row>
    <row r="45" customFormat="false" ht="15" hidden="false" customHeight="false" outlineLevel="0" collapsed="false">
      <c r="A45" s="9" t="n">
        <v>42</v>
      </c>
      <c r="B45" s="9" t="n">
        <v>196</v>
      </c>
      <c r="C45" s="10" t="s">
        <v>80</v>
      </c>
      <c r="D45" s="11" t="n">
        <v>60</v>
      </c>
      <c r="E45" s="11" t="n">
        <v>21.5</v>
      </c>
      <c r="F45" s="11" t="n">
        <v>1290</v>
      </c>
      <c r="G45" s="9" t="s">
        <v>42</v>
      </c>
      <c r="H45" s="11" t="n">
        <v>1290</v>
      </c>
      <c r="I45" s="12" t="n">
        <f aca="false">IF(G45="Unsold",F45,IF(G45="Part-sold",F45-H45,0))</f>
        <v>0</v>
      </c>
      <c r="J45" s="9" t="n">
        <v>1</v>
      </c>
      <c r="K45" s="13" t="n">
        <f aca="false">IF(OR(G45="Sold",G45="Part-sold"),H45*Summary!$B$3,0)</f>
        <v>1032000</v>
      </c>
      <c r="L45" s="14" t="n">
        <v>886597</v>
      </c>
      <c r="M45" s="13" t="n">
        <f aca="false">K45-N(L45)</f>
        <v>145403</v>
      </c>
      <c r="N45" s="13" t="n">
        <f aca="false">I45*Summary!$B$3</f>
        <v>0</v>
      </c>
      <c r="O45" s="9"/>
      <c r="P45" s="9"/>
      <c r="Q45" s="10" t="s">
        <v>43</v>
      </c>
    </row>
    <row r="46" customFormat="false" ht="15" hidden="false" customHeight="false" outlineLevel="0" collapsed="false">
      <c r="A46" s="9" t="n">
        <v>43</v>
      </c>
      <c r="B46" s="9" t="n">
        <v>196</v>
      </c>
      <c r="C46" s="10" t="s">
        <v>45</v>
      </c>
      <c r="D46" s="11" t="n">
        <v>60</v>
      </c>
      <c r="E46" s="11" t="n">
        <v>15</v>
      </c>
      <c r="F46" s="11" t="n">
        <v>900</v>
      </c>
      <c r="G46" s="9" t="s">
        <v>42</v>
      </c>
      <c r="H46" s="11" t="n">
        <v>900</v>
      </c>
      <c r="I46" s="12" t="n">
        <f aca="false">IF(G46="Unsold",F46,IF(G46="Part-sold",F46-H46,0))</f>
        <v>0</v>
      </c>
      <c r="J46" s="9" t="n">
        <v>3</v>
      </c>
      <c r="K46" s="13" t="n">
        <f aca="false">IF(OR(G46="Sold",G46="Part-sold"),H46*Summary!$B$3,0)</f>
        <v>720000</v>
      </c>
      <c r="L46" s="14" t="n">
        <v>720000</v>
      </c>
      <c r="M46" s="13" t="n">
        <f aca="false">K46-N(L46)</f>
        <v>0</v>
      </c>
      <c r="N46" s="13" t="n">
        <f aca="false">I46*Summary!$B$3</f>
        <v>0</v>
      </c>
      <c r="O46" s="9"/>
      <c r="P46" s="9"/>
      <c r="Q46" s="10"/>
    </row>
    <row r="47" customFormat="false" ht="15" hidden="false" customHeight="false" outlineLevel="0" collapsed="false">
      <c r="A47" s="9" t="n">
        <v>44</v>
      </c>
      <c r="B47" s="9" t="n">
        <v>196</v>
      </c>
      <c r="C47" s="10" t="s">
        <v>45</v>
      </c>
      <c r="D47" s="11" t="n">
        <v>60</v>
      </c>
      <c r="E47" s="11" t="n">
        <v>15</v>
      </c>
      <c r="F47" s="11" t="n">
        <v>900</v>
      </c>
      <c r="G47" s="9" t="s">
        <v>42</v>
      </c>
      <c r="H47" s="11" t="n">
        <v>900</v>
      </c>
      <c r="I47" s="12" t="n">
        <f aca="false">IF(G47="Unsold",F47,IF(G47="Part-sold",F47-H47,0))</f>
        <v>0</v>
      </c>
      <c r="J47" s="9" t="n">
        <v>7</v>
      </c>
      <c r="K47" s="13" t="n">
        <f aca="false">IF(OR(G47="Sold",G47="Part-sold"),H47*Summary!$B$3,0)</f>
        <v>720000</v>
      </c>
      <c r="L47" s="14" t="n">
        <v>720000</v>
      </c>
      <c r="M47" s="13" t="n">
        <f aca="false">K47-N(L47)</f>
        <v>0</v>
      </c>
      <c r="N47" s="13" t="n">
        <f aca="false">I47*Summary!$B$3</f>
        <v>0</v>
      </c>
      <c r="O47" s="9"/>
      <c r="P47" s="9"/>
      <c r="Q47" s="10"/>
    </row>
    <row r="48" customFormat="false" ht="15" hidden="false" customHeight="false" outlineLevel="0" collapsed="false">
      <c r="A48" s="9" t="n">
        <v>45</v>
      </c>
      <c r="B48" s="9" t="n">
        <v>196</v>
      </c>
      <c r="C48" s="10" t="s">
        <v>45</v>
      </c>
      <c r="D48" s="11" t="n">
        <v>60</v>
      </c>
      <c r="E48" s="11" t="n">
        <v>15</v>
      </c>
      <c r="F48" s="11" t="n">
        <v>900</v>
      </c>
      <c r="G48" s="9" t="s">
        <v>42</v>
      </c>
      <c r="H48" s="11" t="n">
        <v>900</v>
      </c>
      <c r="I48" s="12" t="n">
        <f aca="false">IF(G48="Unsold",F48,IF(G48="Part-sold",F48-H48,0))</f>
        <v>0</v>
      </c>
      <c r="J48" s="9" t="n">
        <v>7</v>
      </c>
      <c r="K48" s="13" t="n">
        <f aca="false">IF(OR(G48="Sold",G48="Part-sold"),H48*Summary!$B$3,0)</f>
        <v>720000</v>
      </c>
      <c r="L48" s="14" t="n">
        <v>720000</v>
      </c>
      <c r="M48" s="13" t="n">
        <f aca="false">K48-N(L48)</f>
        <v>0</v>
      </c>
      <c r="N48" s="13" t="n">
        <f aca="false">I48*Summary!$B$3</f>
        <v>0</v>
      </c>
      <c r="O48" s="9"/>
      <c r="P48" s="9"/>
      <c r="Q48" s="10"/>
    </row>
    <row r="49" customFormat="false" ht="15" hidden="false" customHeight="false" outlineLevel="0" collapsed="false">
      <c r="A49" s="9" t="n">
        <v>46</v>
      </c>
      <c r="B49" s="9" t="n">
        <v>196</v>
      </c>
      <c r="C49" s="10" t="s">
        <v>45</v>
      </c>
      <c r="D49" s="11" t="n">
        <v>60</v>
      </c>
      <c r="E49" s="11" t="n">
        <v>15</v>
      </c>
      <c r="F49" s="11" t="n">
        <v>900</v>
      </c>
      <c r="G49" s="9" t="s">
        <v>42</v>
      </c>
      <c r="H49" s="11" t="n">
        <v>900</v>
      </c>
      <c r="I49" s="12" t="n">
        <f aca="false">IF(G49="Unsold",F49,IF(G49="Part-sold",F49-H49,0))</f>
        <v>0</v>
      </c>
      <c r="J49" s="9" t="n">
        <v>7</v>
      </c>
      <c r="K49" s="13" t="n">
        <f aca="false">IF(OR(G49="Sold",G49="Part-sold"),H49*Summary!$B$3,0)</f>
        <v>720000</v>
      </c>
      <c r="L49" s="14" t="n">
        <v>720000</v>
      </c>
      <c r="M49" s="13" t="n">
        <f aca="false">K49-N(L49)</f>
        <v>0</v>
      </c>
      <c r="N49" s="13" t="n">
        <f aca="false">I49*Summary!$B$3</f>
        <v>0</v>
      </c>
      <c r="O49" s="9"/>
      <c r="P49" s="9"/>
      <c r="Q49" s="10"/>
    </row>
    <row r="50" customFormat="false" ht="15" hidden="false" customHeight="false" outlineLevel="0" collapsed="false">
      <c r="A50" s="9" t="n">
        <v>47</v>
      </c>
      <c r="B50" s="9" t="n">
        <v>196</v>
      </c>
      <c r="C50" s="10" t="s">
        <v>45</v>
      </c>
      <c r="D50" s="11" t="n">
        <v>60</v>
      </c>
      <c r="E50" s="11" t="n">
        <v>15</v>
      </c>
      <c r="F50" s="11" t="n">
        <v>900</v>
      </c>
      <c r="G50" s="9" t="s">
        <v>42</v>
      </c>
      <c r="H50" s="11" t="n">
        <v>900</v>
      </c>
      <c r="I50" s="12" t="n">
        <f aca="false">IF(G50="Unsold",F50,IF(G50="Part-sold",F50-H50,0))</f>
        <v>0</v>
      </c>
      <c r="J50" s="9" t="n">
        <v>5</v>
      </c>
      <c r="K50" s="13" t="n">
        <f aca="false">IF(OR(G50="Sold",G50="Part-sold"),H50*Summary!$B$3,0)</f>
        <v>720000</v>
      </c>
      <c r="L50" s="14" t="n">
        <v>720000</v>
      </c>
      <c r="M50" s="13" t="n">
        <f aca="false">K50-N(L50)</f>
        <v>0</v>
      </c>
      <c r="N50" s="13" t="n">
        <f aca="false">I50*Summary!$B$3</f>
        <v>0</v>
      </c>
      <c r="O50" s="9"/>
      <c r="P50" s="9"/>
      <c r="Q50" s="10"/>
    </row>
    <row r="51" customFormat="false" ht="15" hidden="false" customHeight="false" outlineLevel="0" collapsed="false">
      <c r="A51" s="9" t="n">
        <v>48</v>
      </c>
      <c r="B51" s="9" t="n">
        <v>196</v>
      </c>
      <c r="C51" s="10" t="s">
        <v>45</v>
      </c>
      <c r="D51" s="11" t="n">
        <v>60</v>
      </c>
      <c r="E51" s="11" t="n">
        <v>15</v>
      </c>
      <c r="F51" s="11" t="n">
        <v>900</v>
      </c>
      <c r="G51" s="9" t="s">
        <v>42</v>
      </c>
      <c r="H51" s="11" t="n">
        <v>900</v>
      </c>
      <c r="I51" s="12" t="n">
        <f aca="false">IF(G51="Unsold",F51,IF(G51="Part-sold",F51-H51,0))</f>
        <v>0</v>
      </c>
      <c r="J51" s="9" t="n">
        <v>5</v>
      </c>
      <c r="K51" s="13" t="n">
        <f aca="false">IF(OR(G51="Sold",G51="Part-sold"),H51*Summary!$B$3,0)</f>
        <v>720000</v>
      </c>
      <c r="L51" s="14" t="n">
        <v>720000</v>
      </c>
      <c r="M51" s="13" t="n">
        <f aca="false">K51-N(L51)</f>
        <v>0</v>
      </c>
      <c r="N51" s="13" t="n">
        <f aca="false">I51*Summary!$B$3</f>
        <v>0</v>
      </c>
      <c r="O51" s="9"/>
      <c r="P51" s="9"/>
      <c r="Q51" s="10"/>
    </row>
    <row r="52" customFormat="false" ht="15" hidden="false" customHeight="false" outlineLevel="0" collapsed="false">
      <c r="A52" s="9" t="n">
        <v>49</v>
      </c>
      <c r="B52" s="9" t="n">
        <v>196</v>
      </c>
      <c r="C52" s="10" t="s">
        <v>81</v>
      </c>
      <c r="D52" s="11" t="n">
        <v>39</v>
      </c>
      <c r="E52" s="11" t="n">
        <v>13</v>
      </c>
      <c r="F52" s="11" t="n">
        <v>507</v>
      </c>
      <c r="G52" s="9" t="s">
        <v>49</v>
      </c>
      <c r="H52" s="11"/>
      <c r="I52" s="12" t="n">
        <f aca="false">IF(G52="Unsold",F52,IF(G52="Part-sold",F52-H52,0))</f>
        <v>507</v>
      </c>
      <c r="J52" s="9"/>
      <c r="K52" s="13" t="n">
        <f aca="false">IF(OR(G52="Sold",G52="Part-sold"),H52*Summary!$B$3,0)</f>
        <v>0</v>
      </c>
      <c r="L52" s="14"/>
      <c r="M52" s="13" t="n">
        <f aca="false">K52-N(L52)</f>
        <v>0</v>
      </c>
      <c r="N52" s="13" t="n">
        <f aca="false">I52*Summary!$B$3</f>
        <v>405600</v>
      </c>
      <c r="O52" s="9"/>
      <c r="P52" s="9"/>
      <c r="Q52" s="10"/>
    </row>
    <row r="53" customFormat="false" ht="15" hidden="false" customHeight="false" outlineLevel="0" collapsed="false">
      <c r="A53" s="9" t="n">
        <v>50</v>
      </c>
      <c r="B53" s="9" t="n">
        <v>196</v>
      </c>
      <c r="C53" s="10" t="s">
        <v>82</v>
      </c>
      <c r="D53" s="11" t="n">
        <v>41.5</v>
      </c>
      <c r="E53" s="11" t="n">
        <v>15</v>
      </c>
      <c r="F53" s="11" t="n">
        <v>622.5</v>
      </c>
      <c r="G53" s="9" t="s">
        <v>42</v>
      </c>
      <c r="H53" s="11" t="n">
        <v>622</v>
      </c>
      <c r="I53" s="12" t="n">
        <f aca="false">IF(G53="Unsold",F53,IF(G53="Part-sold",F53-H53,0))</f>
        <v>0</v>
      </c>
      <c r="J53" s="9"/>
      <c r="K53" s="13" t="n">
        <f aca="false">IF(OR(G53="Sold",G53="Part-sold"),H53*Summary!$B$3,0)</f>
        <v>497600</v>
      </c>
      <c r="L53" s="14" t="n">
        <v>500000</v>
      </c>
      <c r="M53" s="13" t="n">
        <f aca="false">K53-N(L53)</f>
        <v>-2400</v>
      </c>
      <c r="N53" s="13" t="n">
        <f aca="false">I53*Summary!$B$3</f>
        <v>0</v>
      </c>
      <c r="O53" s="9"/>
      <c r="P53" s="9"/>
      <c r="Q53" s="10" t="s">
        <v>83</v>
      </c>
    </row>
    <row r="54" customFormat="false" ht="23.85" hidden="false" customHeight="false" outlineLevel="0" collapsed="false">
      <c r="A54" s="9" t="n">
        <v>51</v>
      </c>
      <c r="B54" s="9" t="n">
        <v>196</v>
      </c>
      <c r="C54" s="10" t="s">
        <v>84</v>
      </c>
      <c r="D54" s="11" t="n">
        <v>44</v>
      </c>
      <c r="E54" s="11" t="n">
        <v>15</v>
      </c>
      <c r="F54" s="11" t="n">
        <v>660</v>
      </c>
      <c r="G54" s="9" t="s">
        <v>42</v>
      </c>
      <c r="H54" s="11" t="n">
        <v>660</v>
      </c>
      <c r="I54" s="12" t="n">
        <f aca="false">IF(G54="Unsold",F54,IF(G54="Part-sold",F54-H54,0))</f>
        <v>0</v>
      </c>
      <c r="J54" s="9"/>
      <c r="K54" s="13" t="n">
        <f aca="false">IF(OR(G54="Sold",G54="Part-sold"),H54*Summary!$B$3,0)</f>
        <v>528000</v>
      </c>
      <c r="L54" s="14" t="n">
        <v>425600</v>
      </c>
      <c r="M54" s="13" t="n">
        <f aca="false">K54-N(L54)</f>
        <v>102400</v>
      </c>
      <c r="N54" s="13" t="n">
        <f aca="false">I54*Summary!$B$3</f>
        <v>0</v>
      </c>
      <c r="O54" s="9"/>
      <c r="P54" s="9"/>
      <c r="Q54" s="10" t="s">
        <v>85</v>
      </c>
    </row>
    <row r="55" customFormat="false" ht="15" hidden="false" customHeight="false" outlineLevel="0" collapsed="false">
      <c r="A55" s="9" t="n">
        <v>52</v>
      </c>
      <c r="B55" s="9" t="n">
        <v>196</v>
      </c>
      <c r="C55" s="10" t="s">
        <v>86</v>
      </c>
      <c r="D55" s="11" t="n">
        <v>45</v>
      </c>
      <c r="E55" s="11" t="n">
        <v>15</v>
      </c>
      <c r="F55" s="11" t="n">
        <v>675</v>
      </c>
      <c r="G55" s="9" t="s">
        <v>42</v>
      </c>
      <c r="H55" s="11" t="n">
        <v>675</v>
      </c>
      <c r="I55" s="12" t="n">
        <f aca="false">IF(G55="Unsold",F55,IF(G55="Part-sold",F55-H55,0))</f>
        <v>0</v>
      </c>
      <c r="J55" s="9"/>
      <c r="K55" s="13" t="n">
        <f aca="false">IF(OR(G55="Sold",G55="Part-sold"),H55*Summary!$B$3,0)</f>
        <v>540000</v>
      </c>
      <c r="L55" s="14" t="n">
        <v>540000</v>
      </c>
      <c r="M55" s="13" t="n">
        <f aca="false">K55-N(L55)</f>
        <v>0</v>
      </c>
      <c r="N55" s="13" t="n">
        <f aca="false">I55*Summary!$B$3</f>
        <v>0</v>
      </c>
      <c r="O55" s="9"/>
      <c r="P55" s="9"/>
      <c r="Q55" s="10"/>
    </row>
    <row r="56" customFormat="false" ht="15" hidden="false" customHeight="false" outlineLevel="0" collapsed="false">
      <c r="A56" s="9" t="n">
        <v>53</v>
      </c>
      <c r="B56" s="9" t="n">
        <v>196</v>
      </c>
      <c r="C56" s="10" t="s">
        <v>86</v>
      </c>
      <c r="D56" s="11" t="n">
        <v>45</v>
      </c>
      <c r="E56" s="11" t="n">
        <v>15</v>
      </c>
      <c r="F56" s="11" t="n">
        <v>675</v>
      </c>
      <c r="G56" s="9" t="s">
        <v>42</v>
      </c>
      <c r="H56" s="11" t="n">
        <v>675</v>
      </c>
      <c r="I56" s="12" t="n">
        <f aca="false">IF(G56="Unsold",F56,IF(G56="Part-sold",F56-H56,0))</f>
        <v>0</v>
      </c>
      <c r="J56" s="9"/>
      <c r="K56" s="13" t="n">
        <f aca="false">IF(OR(G56="Sold",G56="Part-sold"),H56*Summary!$B$3,0)</f>
        <v>540000</v>
      </c>
      <c r="L56" s="14" t="n">
        <v>540000</v>
      </c>
      <c r="M56" s="13" t="n">
        <f aca="false">K56-N(L56)</f>
        <v>0</v>
      </c>
      <c r="N56" s="13" t="n">
        <f aca="false">I56*Summary!$B$3</f>
        <v>0</v>
      </c>
      <c r="O56" s="9"/>
      <c r="P56" s="9"/>
      <c r="Q56" s="10"/>
    </row>
    <row r="57" customFormat="false" ht="15" hidden="false" customHeight="false" outlineLevel="0" collapsed="false">
      <c r="A57" s="9" t="n">
        <v>54</v>
      </c>
      <c r="B57" s="9" t="n">
        <v>196</v>
      </c>
      <c r="C57" s="10" t="s">
        <v>87</v>
      </c>
      <c r="D57" s="11" t="n">
        <v>45.5</v>
      </c>
      <c r="E57" s="11" t="n">
        <v>15</v>
      </c>
      <c r="F57" s="11" t="n">
        <v>682.5</v>
      </c>
      <c r="G57" s="9" t="s">
        <v>42</v>
      </c>
      <c r="H57" s="11" t="n">
        <v>682</v>
      </c>
      <c r="I57" s="12" t="n">
        <f aca="false">IF(G57="Unsold",F57,IF(G57="Part-sold",F57-H57,0))</f>
        <v>0</v>
      </c>
      <c r="J57" s="9"/>
      <c r="K57" s="13" t="n">
        <f aca="false">IF(OR(G57="Sold",G57="Part-sold"),H57*Summary!$B$3,0)</f>
        <v>545600</v>
      </c>
      <c r="L57" s="14" t="n">
        <v>545600</v>
      </c>
      <c r="M57" s="13" t="n">
        <f aca="false">K57-N(L57)</f>
        <v>0</v>
      </c>
      <c r="N57" s="13" t="n">
        <f aca="false">I57*Summary!$B$3</f>
        <v>0</v>
      </c>
      <c r="O57" s="9"/>
      <c r="P57" s="9"/>
      <c r="Q57" s="10"/>
    </row>
    <row r="58" customFormat="false" ht="15" hidden="false" customHeight="false" outlineLevel="0" collapsed="false">
      <c r="A58" s="9" t="n">
        <v>55</v>
      </c>
      <c r="B58" s="9" t="n">
        <v>196</v>
      </c>
      <c r="C58" s="10" t="s">
        <v>88</v>
      </c>
      <c r="D58" s="11" t="n">
        <v>46.5</v>
      </c>
      <c r="E58" s="11" t="n">
        <v>16.5</v>
      </c>
      <c r="F58" s="11" t="n">
        <v>767.25</v>
      </c>
      <c r="G58" s="9" t="s">
        <v>42</v>
      </c>
      <c r="H58" s="11" t="n">
        <v>792</v>
      </c>
      <c r="I58" s="12" t="n">
        <f aca="false">IF(G58="Unsold",F58,IF(G58="Part-sold",F58-H58,0))</f>
        <v>0</v>
      </c>
      <c r="J58" s="9"/>
      <c r="K58" s="13" t="n">
        <f aca="false">IF(OR(G58="Sold",G58="Part-sold"),H58*Summary!$B$3,0)</f>
        <v>633600</v>
      </c>
      <c r="L58" s="14" t="n">
        <v>633600</v>
      </c>
      <c r="M58" s="13" t="n">
        <f aca="false">K58-N(L58)</f>
        <v>0</v>
      </c>
      <c r="N58" s="13" t="n">
        <f aca="false">I58*Summary!$B$3</f>
        <v>0</v>
      </c>
      <c r="O58" s="9"/>
      <c r="P58" s="9"/>
      <c r="Q58" s="10" t="s">
        <v>89</v>
      </c>
    </row>
    <row r="59" customFormat="false" ht="15" hidden="false" customHeight="false" outlineLevel="0" collapsed="false">
      <c r="A59" s="9" t="n">
        <v>56</v>
      </c>
      <c r="B59" s="9" t="n">
        <v>196</v>
      </c>
      <c r="C59" s="10" t="s">
        <v>90</v>
      </c>
      <c r="D59" s="11" t="n">
        <v>29.25</v>
      </c>
      <c r="E59" s="11" t="n">
        <v>25.5</v>
      </c>
      <c r="F59" s="11" t="n">
        <v>745.88</v>
      </c>
      <c r="G59" s="9" t="s">
        <v>49</v>
      </c>
      <c r="H59" s="11"/>
      <c r="I59" s="12" t="n">
        <f aca="false">IF(G59="Unsold",F59,IF(G59="Part-sold",F59-H59,0))</f>
        <v>745.88</v>
      </c>
      <c r="J59" s="9"/>
      <c r="K59" s="13" t="n">
        <f aca="false">IF(OR(G59="Sold",G59="Part-sold"),H59*Summary!$B$3,0)</f>
        <v>0</v>
      </c>
      <c r="L59" s="14"/>
      <c r="M59" s="13" t="n">
        <f aca="false">K59-N(L59)</f>
        <v>0</v>
      </c>
      <c r="N59" s="13" t="n">
        <f aca="false">I59*Summary!$B$3</f>
        <v>596704</v>
      </c>
      <c r="O59" s="9"/>
      <c r="P59" s="9"/>
      <c r="Q59" s="10"/>
    </row>
    <row r="60" customFormat="false" ht="15" hidden="false" customHeight="false" outlineLevel="0" collapsed="false">
      <c r="A60" s="9" t="n">
        <v>57</v>
      </c>
      <c r="B60" s="9" t="n">
        <v>196</v>
      </c>
      <c r="C60" s="10" t="s">
        <v>91</v>
      </c>
      <c r="D60" s="11" t="n">
        <v>25.25</v>
      </c>
      <c r="E60" s="11" t="n">
        <v>30</v>
      </c>
      <c r="F60" s="11" t="n">
        <v>757.5</v>
      </c>
      <c r="G60" s="9" t="s">
        <v>49</v>
      </c>
      <c r="H60" s="11"/>
      <c r="I60" s="12" t="n">
        <f aca="false">IF(G60="Unsold",F60,IF(G60="Part-sold",F60-H60,0))</f>
        <v>757.5</v>
      </c>
      <c r="J60" s="9"/>
      <c r="K60" s="13" t="n">
        <f aca="false">IF(OR(G60="Sold",G60="Part-sold"),H60*Summary!$B$3,0)</f>
        <v>0</v>
      </c>
      <c r="L60" s="14"/>
      <c r="M60" s="13" t="n">
        <f aca="false">K60-N(L60)</f>
        <v>0</v>
      </c>
      <c r="N60" s="13" t="n">
        <f aca="false">I60*Summary!$B$3</f>
        <v>606000</v>
      </c>
      <c r="O60" s="9"/>
      <c r="P60" s="9"/>
      <c r="Q60" s="10"/>
    </row>
    <row r="61" customFormat="false" ht="15" hidden="false" customHeight="false" outlineLevel="0" collapsed="false">
      <c r="A61" s="9" t="n">
        <v>58</v>
      </c>
      <c r="B61" s="9" t="n">
        <v>196</v>
      </c>
      <c r="C61" s="10" t="s">
        <v>92</v>
      </c>
      <c r="D61" s="11" t="n">
        <v>22</v>
      </c>
      <c r="E61" s="11" t="n">
        <v>30</v>
      </c>
      <c r="F61" s="11" t="n">
        <v>660</v>
      </c>
      <c r="G61" s="9" t="s">
        <v>49</v>
      </c>
      <c r="H61" s="11"/>
      <c r="I61" s="12" t="n">
        <f aca="false">IF(G61="Unsold",F61,IF(G61="Part-sold",F61-H61,0))</f>
        <v>660</v>
      </c>
      <c r="J61" s="9"/>
      <c r="K61" s="13" t="n">
        <f aca="false">IF(OR(G61="Sold",G61="Part-sold"),H61*Summary!$B$3,0)</f>
        <v>0</v>
      </c>
      <c r="L61" s="14"/>
      <c r="M61" s="13" t="n">
        <f aca="false">K61-N(L61)</f>
        <v>0</v>
      </c>
      <c r="N61" s="13" t="n">
        <f aca="false">I61*Summary!$B$3</f>
        <v>528000</v>
      </c>
      <c r="O61" s="9"/>
      <c r="P61" s="9"/>
      <c r="Q61" s="10"/>
    </row>
    <row r="62" customFormat="false" ht="15" hidden="false" customHeight="false" outlineLevel="0" collapsed="false">
      <c r="A62" s="9" t="n">
        <v>59</v>
      </c>
      <c r="B62" s="9" t="n">
        <v>196</v>
      </c>
      <c r="C62" s="10" t="s">
        <v>93</v>
      </c>
      <c r="D62" s="11" t="n">
        <v>20.75</v>
      </c>
      <c r="E62" s="11" t="n">
        <v>31.5</v>
      </c>
      <c r="F62" s="11" t="n">
        <v>653.62</v>
      </c>
      <c r="G62" s="9" t="s">
        <v>49</v>
      </c>
      <c r="H62" s="11"/>
      <c r="I62" s="12" t="n">
        <f aca="false">IF(G62="Unsold",F62,IF(G62="Part-sold",F62-H62,0))</f>
        <v>653.62</v>
      </c>
      <c r="J62" s="9"/>
      <c r="K62" s="13" t="n">
        <f aca="false">IF(OR(G62="Sold",G62="Part-sold"),H62*Summary!$B$3,0)</f>
        <v>0</v>
      </c>
      <c r="L62" s="14"/>
      <c r="M62" s="13" t="n">
        <f aca="false">K62-N(L62)</f>
        <v>0</v>
      </c>
      <c r="N62" s="13" t="n">
        <f aca="false">I62*Summary!$B$3</f>
        <v>522896</v>
      </c>
      <c r="O62" s="9"/>
      <c r="P62" s="9"/>
      <c r="Q62" s="10"/>
    </row>
  </sheetData>
  <autoFilter ref="A1:Q62"/>
  <dataValidations count="1">
    <dataValidation allowBlank="false" errorStyle="stop" operator="between" showDropDown="false" showErrorMessage="false" showInputMessage="false" sqref="G2:G62" type="list">
      <formula1>"Sold,Part-sold,Unsold,Gifted,Can't be sold"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5" t="s">
        <v>94</v>
      </c>
      <c r="B1" s="15" t="s">
        <v>95</v>
      </c>
      <c r="C1" s="15" t="s">
        <v>96</v>
      </c>
      <c r="D1" s="15" t="s">
        <v>37</v>
      </c>
    </row>
    <row r="2" customFormat="false" ht="15" hidden="false" customHeight="false" outlineLevel="0" collapsed="false">
      <c r="A2" s="16"/>
      <c r="B2" s="16" t="s">
        <v>97</v>
      </c>
      <c r="C2" s="17" t="n">
        <v>2000000</v>
      </c>
      <c r="D2" s="16" t="s">
        <v>98</v>
      </c>
    </row>
    <row r="4" customFormat="false" ht="15" hidden="false" customHeight="false" outlineLevel="0" collapsed="false">
      <c r="A4" s="1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9" t="s">
        <v>100</v>
      </c>
    </row>
    <row r="2" customFormat="false" ht="15" hidden="false" customHeight="false" outlineLevel="0" collapsed="false">
      <c r="A2" s="5" t="s">
        <v>101</v>
      </c>
    </row>
    <row r="3" customFormat="false" ht="15" hidden="false" customHeight="false" outlineLevel="0" collapsed="false">
      <c r="A3" s="5" t="s">
        <v>102</v>
      </c>
    </row>
    <row r="4" customFormat="false" ht="15" hidden="false" customHeight="false" outlineLevel="0" collapsed="false">
      <c r="A4" s="5" t="s">
        <v>103</v>
      </c>
    </row>
    <row r="5" customFormat="false" ht="15" hidden="false" customHeight="false" outlineLevel="0" collapsed="false">
      <c r="A5" s="5" t="s">
        <v>104</v>
      </c>
    </row>
    <row r="6" customFormat="false" ht="15" hidden="false" customHeight="false" outlineLevel="0" collapsed="false">
      <c r="A6" s="5" t="s">
        <v>105</v>
      </c>
    </row>
    <row r="7" customFormat="false" ht="15" hidden="false" customHeight="false" outlineLevel="0" collapsed="false">
      <c r="A7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2026-10-17T14:10:41Z</dcterms:created>
  <dc:creator>openpyxl</dc:creator>
  <dc:description/>
  <dc:language>en-US</dc:language>
  <cp:lastModifiedBy/>
  <dcterms:modified xsi:type="dcterms:W3CDTF">2026-10-17T14:10:41Z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